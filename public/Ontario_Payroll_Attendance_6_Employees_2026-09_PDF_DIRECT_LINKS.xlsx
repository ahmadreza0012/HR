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40aebad69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c0f1dab947f443b"/>
    <x:sheet xmlns:r="http://schemas.openxmlformats.org/officeDocument/2006/relationships" name="Settings" sheetId="2" r:id="Rc31d2fb26b944c12"/>
    <x:sheet xmlns:r="http://schemas.openxmlformats.org/officeDocument/2006/relationships" name="Employees" sheetId="3" r:id="Rfed03e4346094449"/>
    <x:sheet xmlns:r="http://schemas.openxmlformats.org/officeDocument/2006/relationships" name="Work Schedule" sheetId="4" r:id="R9f8fc5e545b549f3"/>
    <x:sheet xmlns:r="http://schemas.openxmlformats.org/officeDocument/2006/relationships" name="Ontario Holidays" sheetId="5" r:id="R5601f4d2360140d1"/>
    <x:sheet xmlns:r="http://schemas.openxmlformats.org/officeDocument/2006/relationships" name="Attendance" sheetId="6" r:id="R3da6990795c64756"/>
    <x:sheet xmlns:r="http://schemas.openxmlformats.org/officeDocument/2006/relationships" name="Payroll Periods" sheetId="7" r:id="R27a66c3715dd4214"/>
    <x:sheet xmlns:r="http://schemas.openxmlformats.org/officeDocument/2006/relationships" name="Payroll Calculation" sheetId="8" r:id="R66bb6a6de6ee4d44"/>
    <x:sheet xmlns:r="http://schemas.openxmlformats.org/officeDocument/2006/relationships" name="Payslip" sheetId="9" r:id="R3da72e96ff3c4037"/>
    <x:sheet xmlns:r="http://schemas.openxmlformats.org/officeDocument/2006/relationships" name="Change Log" sheetId="10" r:id="R94cf1771d34f4f29"/>
    <x:sheet xmlns:r="http://schemas.openxmlformats.org/officeDocument/2006/relationships" name="Report EMP-001" sheetId="11" r:id="R97c157c9445644ce"/>
    <x:sheet xmlns:r="http://schemas.openxmlformats.org/officeDocument/2006/relationships" name="Report EMP-002" sheetId="12" r:id="R057b520756ee4b07"/>
    <x:sheet xmlns:r="http://schemas.openxmlformats.org/officeDocument/2006/relationships" name="Report EMP-003" sheetId="13" r:id="R5eb67c88ad4346eb"/>
    <x:sheet xmlns:r="http://schemas.openxmlformats.org/officeDocument/2006/relationships" name="Report EMP-004" sheetId="14" r:id="Rf4fbaf06b64c4c3f"/>
    <x:sheet xmlns:r="http://schemas.openxmlformats.org/officeDocument/2006/relationships" name="Report EMP-005" sheetId="15" r:id="Rb6003afea4fb4d41"/>
    <x:sheet xmlns:r="http://schemas.openxmlformats.org/officeDocument/2006/relationships" name="Report EMP-006" sheetId="16" r:id="R9d8b87bc687544b1"/>
    <x:sheet xmlns:r="http://schemas.openxmlformats.org/officeDocument/2006/relationships" name="PDF" sheetId="17" r:id="Rf8fd4ad07a2b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%"/>
    <x:numFmt numFmtId="202" formatCode="$#,##0.00;[Red]($#,##0.00);-"/>
    <x:numFmt numFmtId="203" formatCode="hh:mm"/>
    <x:numFmt numFmtId="204" formatCode="0.00;[Red](0.00);-"/>
    <x:numFmt numFmtId="205" formatCode="yyyy-mm-dd hh:mm"/>
  </x:numFmts>
  <x:fonts count="1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11"/>
      <x:color rgb="FF0000FF"/>
      <x:name val="Carlito"/>
    </x:font>
    <x:font>
      <x:i/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sz val="11"/>
      <x:color rgb="FF1F2937"/>
      <x:name val="Carlito"/>
    </x:font>
    <x:font>
      <x:b/>
      <x:sz val="11"/>
      <x:color rgb="FF0563C1"/>
      <x:name val="Carlito"/>
    </x:font>
    <x:font>
      <x:sz val="11"/>
      <x:color rgb="FF0563C1"/>
      <x:name val="Carlito"/>
    </x:font>
    <x:font>
      <x:b/>
      <x:sz val="11"/>
      <x:color rgb="FF166534"/>
      <x:name val="Carlito"/>
    </x:font>
    <x:font>
      <x:i/>
      <x:sz val="9"/>
      <x:color rgb="FF7A4D00"/>
      <x:name val="Carlito"/>
    </x:font>
    <x:font>
      <x:b/>
      <x:i/>
      <x:sz val="9"/>
      <x:color rgb="FF7F600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45B78"/>
      </x:patternFill>
    </x:fill>
    <x:fill>
      <x:patternFill patternType="solid">
        <x:fgColor rgb="FF2A7F8E"/>
      </x:patternFill>
    </x:fill>
    <x:fill>
      <x:patternFill patternType="solid">
        <x:fgColor rgb="FFFFF2CC"/>
      </x:patternFill>
    </x:fill>
    <x:fill>
      <x:patternFill patternType="solid">
        <x:fgColor rgb="FFF3F5F7"/>
      </x:patternFill>
    </x:fill>
    <x:fill>
      <x:patternFill patternType="solid">
        <x:fgColor rgb="FF173A5E"/>
      </x:patternFill>
    </x:fill>
    <x:fill>
      <x:patternFill patternType="solid">
        <x:fgColor rgb="FFEAF3F7"/>
      </x:patternFill>
    </x:fill>
    <x:fill>
      <x:patternFill patternType="solid">
        <x:fgColor rgb="FF2F8392"/>
      </x:patternFill>
    </x:fill>
    <x:fill>
      <x:patternFill patternType="solid">
        <x:fgColor rgb="FFF8FBFC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FFF2CC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0" fontId="3" fillId="5" borderId="0" xfId="0" applyNumberFormat="1" applyFont="1" applyFill="1" applyBorder="1"/>
    <x:xf numFmtId="0" fontId="3" fillId="5" borderId="0" xfId="0" applyNumberFormat="1" applyFont="1" applyFill="1" applyBorder="1"/>
    <x:xf numFmtId="200" fontId="0" fillId="5" borderId="1" xfId="0" applyNumberFormat="1" applyFont="1" applyFill="1" applyBorder="1"/>
    <x:xf numFmtId="0" fontId="0" fillId="5" borderId="1" xfId="0" applyNumberFormat="1" applyFont="1" applyFill="1" applyBorder="1"/>
    <x:xf numFmtId="200" fontId="3" fillId="5" borderId="1" xfId="0" applyNumberFormat="1" applyFont="1" applyFill="1" applyBorder="1"/>
    <x:xf numFmtId="0" fontId="3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2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202" fontId="3" fillId="0" borderId="1" xfId="0" applyNumberFormat="1" applyFont="1" applyFill="1" applyBorder="1"/>
    <x:xf numFmtId="201" fontId="3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3" fontId="3" fillId="0" borderId="0" xfId="0" applyNumberFormat="1" applyFont="1" applyFill="1" applyBorder="1"/>
    <x:xf numFmtId="203" fontId="3" fillId="0" borderId="1" xfId="0" applyNumberFormat="1" applyFont="1" applyFill="1" applyBorder="1"/>
    <x:xf numFmtId="204" fontId="3" fillId="0" borderId="0" xfId="0" applyNumberFormat="1" applyFont="1" applyFill="1" applyBorder="1"/>
    <x:xf numFmtId="204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left"/>
    </x:xf>
    <x:xf numFmtId="0" fontId="8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vertical="center"/>
    </x:xf>
    <x:xf numFmtId="0" fontId="12" fillId="10" borderId="0" xfId="0" applyNumberFormat="1" applyFont="1" applyFill="1" applyBorder="1" applyAlignment="1">
      <x:alignment vertical="center"/>
    </x:xf>
    <x:xf numFmtId="0" fontId="13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vertical="center"/>
    </x:xf>
    <x:xf numFmtId="0" fontId="11" fillId="11" borderId="0" xfId="0" applyNumberFormat="1" applyFont="1" applyFill="1" applyBorder="1" applyAlignment="1">
      <x:alignment vertical="center"/>
    </x:xf>
    <x:xf numFmtId="0" fontId="12" fillId="11" borderId="0" xfId="0" applyNumberFormat="1" applyFont="1" applyFill="1" applyBorder="1" applyAlignment="1">
      <x:alignment vertical="center"/>
    </x:xf>
    <x:xf numFmtId="0" fontId="13" fillId="11" borderId="0" xfId="0" applyNumberFormat="1" applyFont="1" applyFill="1" applyBorder="1" applyAlignment="1">
      <x:alignment vertical="center"/>
    </x:xf>
    <x:xf numFmtId="0" fontId="2" fillId="9" borderId="2" xfId="0" applyNumberFormat="1" applyFont="1" applyFill="1" applyBorder="1" applyAlignment="1">
      <x:alignment horizontal="center" vertical="center" wrapText="1"/>
    </x:xf>
    <x:xf numFmtId="0" fontId="2" fillId="9" borderId="3" xfId="0" applyNumberFormat="1" applyFont="1" applyFill="1" applyBorder="1" applyAlignment="1">
      <x:alignment horizontal="center" vertical="center" wrapText="1"/>
    </x:xf>
    <x:xf numFmtId="0" fontId="2" fillId="9" borderId="4" xfId="0" applyNumberFormat="1" applyFont="1" applyFill="1" applyBorder="1" applyAlignment="1">
      <x:alignment horizontal="center" vertical="center" wrapText="1"/>
    </x:xf>
    <x:xf numFmtId="0" fontId="10" fillId="10" borderId="5" xfId="0" applyNumberFormat="1" applyFont="1" applyFill="1" applyBorder="1" applyAlignment="1">
      <x:alignment vertical="center"/>
    </x:xf>
    <x:xf numFmtId="0" fontId="11" fillId="10" xfId="0" applyNumberFormat="1" applyFont="1" applyFill="1" applyBorder="0" applyAlignment="1">
      <x:alignment vertical="center"/>
    </x:xf>
    <x:xf numFmtId="0" fontId="10" fillId="10" xfId="0" applyNumberFormat="1" applyFont="1" applyFill="1" applyBorder="0" applyAlignment="1">
      <x:alignment vertical="center"/>
    </x:xf>
    <x:xf numFmtId="0" fontId="13" fillId="10" xfId="0" applyNumberFormat="1" applyFont="1" applyFill="1" applyBorder="0" applyAlignment="1">
      <x:alignment vertical="center"/>
    </x:xf>
    <x:xf numFmtId="0" fontId="12" fillId="10" borderId="6" xfId="0" applyNumberFormat="1" applyFont="1" applyFill="1" applyBorder="1" applyAlignment="1">
      <x:alignment vertical="center"/>
    </x:xf>
    <x:xf numFmtId="0" fontId="10" fillId="11" borderId="5" xfId="0" applyNumberFormat="1" applyFont="1" applyFill="1" applyBorder="1" applyAlignment="1">
      <x:alignment vertical="center"/>
    </x:xf>
    <x:xf numFmtId="0" fontId="11" fillId="11" xfId="0" applyNumberFormat="1" applyFont="1" applyFill="1" applyBorder="0" applyAlignment="1">
      <x:alignment vertical="center"/>
    </x:xf>
    <x:xf numFmtId="0" fontId="10" fillId="11" xfId="0" applyNumberFormat="1" applyFont="1" applyFill="1" applyBorder="0" applyAlignment="1">
      <x:alignment vertical="center"/>
    </x:xf>
    <x:xf numFmtId="0" fontId="13" fillId="11" xfId="0" applyNumberFormat="1" applyFont="1" applyFill="1" applyBorder="0" applyAlignment="1">
      <x:alignment vertical="center"/>
    </x:xf>
    <x:xf numFmtId="0" fontId="12" fillId="11" borderId="6" xfId="0" applyNumberFormat="1" applyFont="1" applyFill="1" applyBorder="1" applyAlignment="1">
      <x:alignment vertical="center"/>
    </x:xf>
    <x:xf numFmtId="0" fontId="10" fillId="11" borderId="7" xfId="0" applyNumberFormat="1" applyFont="1" applyFill="1" applyBorder="1" applyAlignment="1">
      <x:alignment vertical="center"/>
    </x:xf>
    <x:xf numFmtId="0" fontId="11" fillId="11" borderId="8" xfId="0" applyNumberFormat="1" applyFont="1" applyFill="1" applyBorder="1" applyAlignment="1">
      <x:alignment vertical="center"/>
    </x:xf>
    <x:xf numFmtId="0" fontId="10" fillId="11" borderId="8" xfId="0" applyNumberFormat="1" applyFont="1" applyFill="1" applyBorder="1" applyAlignment="1">
      <x:alignment vertical="center"/>
    </x:xf>
    <x:xf numFmtId="0" fontId="13" fillId="11" borderId="8" xfId="0" applyNumberFormat="1" applyFont="1" applyFill="1" applyBorder="1" applyAlignment="1">
      <x:alignment vertical="center"/>
    </x:xf>
    <x:xf numFmtId="0" fontId="12" fillId="11" borderId="9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4" fillId="12" borderId="0" xfId="0" applyNumberFormat="1" applyFont="1" applyFill="1" applyBorder="1"/>
    <x:xf numFmtId="0" fontId="14" fillId="12" borderId="0" xfId="0" applyNumberFormat="1" applyFont="1" applyFill="1" applyBorder="1" applyAlignment="1">
      <x:alignment wrapText="1"/>
    </x:xf>
    <x:xf numFmtId="0" fontId="14" fillId="12" borderId="0" xfId="0" applyNumberFormat="1" applyFont="1" applyFill="1" applyBorder="1" applyAlignment="1">
      <x:alignment vertical="center" wrapText="1"/>
    </x:xf>
    <x:xf numFmtId="0" fontId="14" fillId="13" borderId="0" xfId="0" applyNumberFormat="1" applyFont="1" applyFill="1" applyBorder="1" applyAlignment="1">
      <x:alignment vertical="center" wrapText="1"/>
    </x:xf>
    <x:xf numFmtId="0" fontId="15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9C0006"/>
      </x:font>
      <x:fill>
        <x:patternFill>
          <x:bgColor rgb="FFFCE4D6"/>
        </x:patternFill>
      </x:fill>
    </x:dxf>
    <x:dxf>
      <x:font>
        <x:color rgb="FF274E1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090d8c90e445b" /><Relationship Type="http://schemas.openxmlformats.org/officeDocument/2006/relationships/theme" Target="/xl/theme/theme1.xml" Id="R1e9e1c9844634fee" /><Relationship Type="http://schemas.openxmlformats.org/officeDocument/2006/relationships/sharedStrings" Target="/xl/sharedStrings.xml" Id="R1c733142f10142ee" /><Relationship Type="http://schemas.openxmlformats.org/officeDocument/2006/relationships/worksheet" Target="/xl/worksheets/sheet1.xml" Id="Rcc0f1dab947f443b" /><Relationship Type="http://schemas.openxmlformats.org/officeDocument/2006/relationships/worksheet" Target="/xl/worksheets/sheet2.xml" Id="Rc31d2fb26b944c12" /><Relationship Type="http://schemas.openxmlformats.org/officeDocument/2006/relationships/worksheet" Target="/xl/worksheets/sheet3.xml" Id="Rfed03e4346094449" /><Relationship Type="http://schemas.openxmlformats.org/officeDocument/2006/relationships/worksheet" Target="/xl/worksheets/sheet4.xml" Id="R9f8fc5e545b549f3" /><Relationship Type="http://schemas.openxmlformats.org/officeDocument/2006/relationships/worksheet" Target="/xl/worksheets/sheet5.xml" Id="R5601f4d2360140d1" /><Relationship Type="http://schemas.openxmlformats.org/officeDocument/2006/relationships/worksheet" Target="/xl/worksheets/sheet6.xml" Id="R3da6990795c64756" /><Relationship Type="http://schemas.openxmlformats.org/officeDocument/2006/relationships/worksheet" Target="/xl/worksheets/sheet7.xml" Id="R27a66c3715dd4214" /><Relationship Type="http://schemas.openxmlformats.org/officeDocument/2006/relationships/worksheet" Target="/xl/worksheets/sheet8.xml" Id="R66bb6a6de6ee4d44" /><Relationship Type="http://schemas.openxmlformats.org/officeDocument/2006/relationships/worksheet" Target="/xl/worksheets/sheet9.xml" Id="R3da72e96ff3c4037" /><Relationship Type="http://schemas.openxmlformats.org/officeDocument/2006/relationships/worksheet" Target="/xl/worksheets/sheet10.xml" Id="R94cf1771d34f4f29" /><Relationship Type="http://schemas.openxmlformats.org/officeDocument/2006/relationships/worksheet" Target="/xl/worksheets/sheet11.xml" Id="R97c157c9445644ce" /><Relationship Type="http://schemas.openxmlformats.org/officeDocument/2006/relationships/worksheet" Target="/xl/worksheets/sheet12.xml" Id="R057b520756ee4b07" /><Relationship Type="http://schemas.openxmlformats.org/officeDocument/2006/relationships/worksheet" Target="/xl/worksheets/sheet13.xml" Id="R5eb67c88ad4346eb" /><Relationship Type="http://schemas.openxmlformats.org/officeDocument/2006/relationships/worksheet" Target="/xl/worksheets/sheet14.xml" Id="Rf4fbaf06b64c4c3f" /><Relationship Type="http://schemas.openxmlformats.org/officeDocument/2006/relationships/worksheet" Target="/xl/worksheets/sheet15.xml" Id="Rb6003afea4fb4d41" /><Relationship Type="http://schemas.openxmlformats.org/officeDocument/2006/relationships/worksheet" Target="/xl/worksheets/sheet16.xml" Id="R9d8b87bc687544b1" /><Relationship Type="http://schemas.openxmlformats.org/officeDocument/2006/relationships/worksheet" Target="/xl/worksheets/sheet17.xml" Id="Rf8fd4ad07a2b48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24" hidden="0" customWidth="1"/>
    <x:col min="4" max="4" width="58" hidden="0" customWidth="1"/>
  </x:cols>
  <x:sheetData>
    <x:row r="1" ht="28" customHeight="1">
      <x:c r="A1" s="3" t="str">
        <x:v>Ontario Payroll &amp; Attendance Workbook - September 2026</x:v>
      </x:c>
    </x:row>
    <x:row r="3" ht="30" customHeight="1">
      <x:c r="A3" s="10" t="str">
        <x:v>Step</x:v>
      </x:c>
      <x:c r="B3" s="10" t="str">
        <x:v>Sheet</x:v>
      </x:c>
      <x:c r="C3" s="10" t="str">
        <x:v>Purpose</x:v>
      </x:c>
      <x:c r="D3" s="10" t="str">
        <x:v>Key Guidance</x:v>
      </x:c>
    </x:row>
    <x:row r="4">
      <x:c r="A4" s="16" t="str">
        <x:v>1</x:v>
      </x:c>
      <x:c r="B4" s="16" t="str">
        <x:v>Settings</x:v>
      </x:c>
      <x:c r="C4" s="16" t="str">
        <x:v>Payroll period, employer details and 2026 reference parameters.</x:v>
      </x:c>
      <x:c r="D4" s="16" t="str">
        <x:v>Replace employer placeholders before any external submission.</x:v>
      </x:c>
    </x:row>
    <x:row r="5">
      <x:c r="A5" s="16" t="str">
        <x:v>2</x:v>
      </x:c>
      <x:c r="B5" s="16" t="str">
        <x:v>Employees</x:v>
      </x:c>
      <x:c r="C5" s="16" t="str">
        <x:v>Employee master data and vacation pay rate.</x:v>
      </x:c>
      <x:c r="D5" s="16" t="str">
        <x:v>Six realistic sample employees are included.</x:v>
      </x:c>
    </x:row>
    <x:row r="6">
      <x:c r="A6" s="16" t="str">
        <x:v>3</x:v>
      </x:c>
      <x:c r="B6" s="16" t="str">
        <x:v>Work Schedule</x:v>
      </x:c>
      <x:c r="C6" s="16" t="str">
        <x:v>Standard weekly schedule.</x:v>
      </x:c>
      <x:c r="D6" s="16" t="str">
        <x:v>Mon-Fri 08:00-17:00 with 1.0 hour unpaid meal; Sat 08:00-14:00 with 1.0 hour unpaid meal; Sun off.</x:v>
      </x:c>
    </x:row>
    <x:row r="7">
      <x:c r="A7" s="16" t="str">
        <x:v>4</x:v>
      </x:c>
      <x:c r="B7" s="16" t="str">
        <x:v>Ontario Holidays</x:v>
      </x:c>
      <x:c r="C7" s="16" t="str">
        <x:v>Ontario public holidays for 2026.</x:v>
      </x:c>
      <x:c r="D7" s="16" t="str">
        <x:v>Labour Day on 2026-09-07 is applied in the September period.</x:v>
      </x:c>
    </x:row>
    <x:row r="8">
      <x:c r="A8" s="16" t="str">
        <x:v>5</x:v>
      </x:c>
      <x:c r="B8" s="16" t="str">
        <x:v>Attendance</x:v>
      </x:c>
      <x:c r="C8" s="16" t="str">
        <x:v>Daily time, leave, lateness and weekly overtime allocation.</x:v>
      </x:c>
      <x:c r="D8" s="16" t="str">
        <x:v>Overtime is allocated after 44 worked hours in a Monday-Sunday work week for this sample.</x:v>
      </x:c>
    </x:row>
    <x:row r="9">
      <x:c r="A9" s="16" t="str">
        <x:v>6</x:v>
      </x:c>
      <x:c r="B9" s="16" t="str">
        <x:v>Payroll Calculation</x:v>
      </x:c>
      <x:c r="C9" s="16" t="str">
        <x:v>Hours, earnings, vacation pay and estimated deductions.</x:v>
      </x:c>
      <x:c r="D9" s="16" t="str">
        <x:v>Tax and statutory deductions must be verified with CRA payroll tools before remittance.</x:v>
      </x:c>
    </x:row>
    <x:row r="10">
      <x:c r="A10" s="16" t="str">
        <x:v>7</x:v>
      </x:c>
      <x:c r="B10" s="16" t="str">
        <x:v>Payslip</x:v>
      </x:c>
      <x:c r="C10" s="16" t="str">
        <x:v>Dynamic employee payroll statement.</x:v>
      </x:c>
      <x:c r="D10" s="16" t="str">
        <x:v>Change Employee ID in B3.</x:v>
      </x:c>
    </x:row>
    <x:row r="11">
      <x:c r="A11" s="16" t="str">
        <x:v>8</x:v>
      </x:c>
      <x:c r="B11" s="16" t="str">
        <x:v>Report EMP-xxx</x:v>
      </x:c>
      <x:c r="C11" s="16" t="str">
        <x:v>Print-ready employee work/payroll statements.</x:v>
      </x:c>
      <x:c r="D11" s="16" t="str">
        <x:v>Current reports also have matching PDF files.</x:v>
      </x:c>
    </x:row>
    <x:row r="13" ht="22" customHeight="1">
      <x:c r="A13" s="19" t="str">
        <x:v>Important Compliance Notes</x:v>
      </x:c>
    </x:row>
    <x:row r="14">
      <x:c r="A14" s="16" t="str">
        <x:v>Ontario overtime</x:v>
      </x:c>
      <x:c r="B14" s="16" t="str">
        <x:v>For most employees, overtime begins after 44 hours worked in a work week and is paid at 1.5 times the regular rate.</x:v>
      </x:c>
    </x:row>
    <x:row r="15">
      <x:c r="A15" s="16" t="str">
        <x:v>Eating periods</x:v>
      </x:c>
      <x:c r="B15" s="16" t="str">
        <x:v>The sample schedule includes unpaid eating periods so employees do not work more than five consecutive hours without an eating period.</x:v>
      </x:c>
    </x:row>
    <x:row r="16">
      <x:c r="A16" s="16" t="str">
        <x:v>Vacation pay</x:v>
      </x:c>
      <x:c r="B16" s="16" t="str">
        <x:v>This sample uses 4% for employees under five years of service and 6% at/over five years.</x:v>
      </x:c>
    </x:row>
    <x:row r="17">
      <x:c r="A17" s="16" t="str">
        <x:v>Public holiday pay</x:v>
      </x:c>
      <x:c r="B17" s="16" t="str">
        <x:v>The sample represents Labour Day as scheduled hours x regular rate because the prior four-week wage history required for the statutory public-holiday-pay formula is not included. Verify eligibility and statutory holiday pay before official use.</x:v>
      </x:c>
    </x:row>
    <x:row r="18">
      <x:c r="A18" s="16" t="str">
        <x:v>Official use</x:v>
      </x:c>
      <x:c r="B18" s="16" t="str">
        <x:v>The PDF/report layout is a supporting payroll/time record, not a prescribed CRA form. Replace employer placeholders and verify deductions before official submission.</x:v>
      </x:c>
    </x:row>
    <x:row r="20" ht="22" customHeight="1">
      <x:c r="A20" s="19" t="str">
        <x:v>Source References</x:v>
      </x:c>
    </x:row>
    <x:row r="21">
      <x:c r="A21" t="str">
        <x:v>Ontario Public Holidays</x:v>
      </x:c>
      <x:c r="B21" t="str">
        <x:v>https://www.ontario.ca/document/your-guide-employment-standards-act-0/public-holidays</x:v>
      </x:c>
      <x:c r="C21" t="str"/>
      <x:c r="D21" t="str"/>
    </x:row>
    <x:row r="22">
      <x:c r="A22" t="str">
        <x:v>Ontario Overtime</x:v>
      </x:c>
      <x:c r="B22" t="str">
        <x:v>https://www.ontario.ca/document/your-guide-employment-standards-act-0/overtime-pay</x:v>
      </x:c>
      <x:c r="C22" t="str"/>
      <x:c r="D22" t="str"/>
    </x:row>
    <x:row r="23">
      <x:c r="A23" t="str">
        <x:v>Ontario Eating Periods</x:v>
      </x:c>
      <x:c r="B23" t="str">
        <x:v>https://www.ontario.ca/document/employment-standard-act-policy-and-interpretation-manual/part-vii-hours-work-and-eating-periods</x:v>
      </x:c>
      <x:c r="C23" t="str"/>
      <x:c r="D23" t="str"/>
    </x:row>
    <x:row r="24">
      <x:c r="A24" t="str">
        <x:v>Ontario Vacation</x:v>
      </x:c>
      <x:c r="B24" t="str">
        <x:v>https://www.ontario.ca/document/your-guide-employment-standards-act-0/vacation</x:v>
      </x:c>
      <x:c r="C24" t="str"/>
      <x:c r="D24" t="str"/>
    </x:row>
    <x:row r="25">
      <x:c r="A25" t="str">
        <x:v>CRA 2026 Ontario Payroll Tables</x:v>
      </x:c>
      <x:c r="B25" t="str">
        <x:v>https://www.canada.ca/en/revenue-agency/services/forms-publications/payroll/t4032-payroll-deductions-tables/t4032on-jan.html</x:v>
      </x:c>
      <x:c r="C25" t="str"/>
      <x:c r="D25" t="str"/>
    </x:row>
  </x:sheetData>
  <x:mergeCells>
    <x:mergeCell ref="A1:D1"/>
    <x:mergeCell ref="A13:D13"/>
    <x:mergeCell ref="A20:D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5" hidden="0" customWidth="1"/>
    <x:col min="3" max="3" width="42" hidden="0" customWidth="1"/>
    <x:col min="4" max="4" width="26" hidden="0" customWidth="1"/>
  </x:cols>
  <x:sheetData>
    <x:row r="1" ht="28" customHeight="1">
      <x:c r="A1" s="3" t="str">
        <x:v>Settings &amp; 2026 Reference Parameters</x:v>
      </x:c>
    </x:row>
    <x:row r="3" ht="30" customHeight="1">
      <x:c r="A3" s="10" t="str">
        <x:v>Parameter</x:v>
      </x:c>
      <x:c r="B3" s="10" t="str">
        <x:v>Value</x:v>
      </x:c>
      <x:c r="C3" s="10" t="str">
        <x:v>Description</x:v>
      </x:c>
      <x:c r="D3" s="10" t="str">
        <x:v>Source / Note</x:v>
      </x:c>
    </x:row>
    <x:row r="4">
      <x:c r="A4" t="str">
        <x:v>Payroll Period Start</x:v>
      </x:c>
      <x:c r="B4" s="26" t="n">
        <x:v>46266</x:v>
      </x:c>
      <x:c r="C4" t="str">
        <x:v>Current payroll period start</x:v>
      </x:c>
      <x:c r="D4" t="str">
        <x:v>Workbook control</x:v>
      </x:c>
    </x:row>
    <x:row r="5">
      <x:c r="A5" t="str">
        <x:v>Payroll Period End</x:v>
      </x:c>
      <x:c r="B5" s="26" t="n">
        <x:v>46295</x:v>
      </x:c>
      <x:c r="C5" t="str">
        <x:v>Current payroll period end</x:v>
      </x:c>
      <x:c r="D5" t="str">
        <x:v>Workbook control</x:v>
      </x:c>
    </x:row>
    <x:row r="6">
      <x:c r="A6" t="str">
        <x:v>Pay Date</x:v>
      </x:c>
      <x:c r="B6" s="26" t="n">
        <x:v>46300</x:v>
      </x:c>
      <x:c r="C6" t="str">
        <x:v>Planned pay date</x:v>
      </x:c>
      <x:c r="D6" t="str">
        <x:v>Workbook control</x:v>
      </x:c>
    </x:row>
    <x:row r="7">
      <x:c r="A7" t="str">
        <x:v>Province</x:v>
      </x:c>
      <x:c r="B7" s="27" t="str">
        <x:v>Ontario</x:v>
      </x:c>
      <x:c r="C7" t="str">
        <x:v>Province of employment</x:v>
      </x:c>
      <x:c r="D7" t="str">
        <x:v>User requirement</x:v>
      </x:c>
    </x:row>
    <x:row r="8">
      <x:c r="A8" t="str">
        <x:v>Employer Legal Name</x:v>
      </x:c>
      <x:c r="B8" s="27" t="str">
        <x:v>REPLACE BEFORE OFFICIAL USE</x:v>
      </x:c>
      <x:c r="C8" t="str">
        <x:v>Legal employer name for reports</x:v>
      </x:c>
      <x:c r="D8" t="str">
        <x:v>User input required</x:v>
      </x:c>
    </x:row>
    <x:row r="9">
      <x:c r="A9" t="str">
        <x:v>CRA Business Number</x:v>
      </x:c>
      <x:c r="B9" s="27" t="str">
        <x:v>REPLACE BEFORE OFFICIAL USE</x:v>
      </x:c>
      <x:c r="C9" t="str">
        <x:v>Payroll account / business identifier</x:v>
      </x:c>
      <x:c r="D9" t="str">
        <x:v>User input required</x:v>
      </x:c>
    </x:row>
    <x:row r="10">
      <x:c r="A10" t="str">
        <x:v>Employer Address</x:v>
      </x:c>
      <x:c r="B10" s="27" t="str">
        <x:v>REPLACE BEFORE OFFICIAL USE</x:v>
      </x:c>
      <x:c r="C10" t="str">
        <x:v>Street address</x:v>
      </x:c>
      <x:c r="D10" t="str">
        <x:v>User input required</x:v>
      </x:c>
    </x:row>
    <x:row r="11">
      <x:c r="A11" t="str">
        <x:v>City / Province / Postal Code</x:v>
      </x:c>
      <x:c r="B11" s="27" t="str">
        <x:v>REPLACE BEFORE OFFICIAL USE</x:v>
      </x:c>
      <x:c r="C11" t="str">
        <x:v>Mailing location</x:v>
      </x:c>
      <x:c r="D11" t="str">
        <x:v>User input required</x:v>
      </x:c>
    </x:row>
    <x:row r="12">
      <x:c r="A12" t="str">
        <x:v>Authorized Signatory</x:v>
      </x:c>
      <x:c r="B12" s="27" t="str">
        <x:v>REPLACE BEFORE OFFICIAL USE</x:v>
      </x:c>
      <x:c r="C12" t="str">
        <x:v>Name/title for external reports</x:v>
      </x:c>
      <x:c r="D12" t="str">
        <x:v>User input required</x:v>
      </x:c>
    </x:row>
    <x:row r="13">
      <x:c r="A13" t="str">
        <x:v>Overtime Threshold (hours/week)</x:v>
      </x:c>
      <x:c r="B13" t="n">
        <x:v>44</x:v>
      </x:c>
      <x:c r="C13" t="str">
        <x:v>For most Ontario employees</x:v>
      </x:c>
      <x:c r="D13" t="str">
        <x:v>Ontario ESA</x:v>
      </x:c>
    </x:row>
    <x:row r="14">
      <x:c r="A14" t="str">
        <x:v>Overtime Multiplier</x:v>
      </x:c>
      <x:c r="B14" t="n">
        <x:v>1.5</x:v>
      </x:c>
      <x:c r="C14" t="str">
        <x:v>Time and one-half</x:v>
      </x:c>
      <x:c r="D14" t="str">
        <x:v>Ontario ESA</x:v>
      </x:c>
    </x:row>
    <x:row r="15">
      <x:c r="A15" t="str">
        <x:v>Payroll Periods per Year</x:v>
      </x:c>
      <x:c r="B15" t="n">
        <x:v>12</x:v>
      </x:c>
      <x:c r="C15" t="str">
        <x:v>Monthly model</x:v>
      </x:c>
      <x:c r="D15" t="str">
        <x:v>Workbook assumption</x:v>
      </x:c>
    </x:row>
    <x:row r="16">
      <x:c r="A16" t="str">
        <x:v>CPP Annual Basic Exemption (CAD)</x:v>
      </x:c>
      <x:c r="B16" t="n">
        <x:v>3500</x:v>
      </x:c>
      <x:c r="C16" t="str">
        <x:v>2026 CPP basic exemption</x:v>
      </x:c>
      <x:c r="D16" t="str">
        <x:v>CRA 2026</x:v>
      </x:c>
    </x:row>
    <x:row r="17">
      <x:c r="A17" t="str">
        <x:v>CPP Employee Rate</x:v>
      </x:c>
      <x:c r="B17" s="32" t="n">
        <x:v>0.0595</x:v>
      </x:c>
      <x:c r="C17" t="str">
        <x:v>2026 CPP rate</x:v>
      </x:c>
      <x:c r="D17" t="str">
        <x:v>CRA 2026</x:v>
      </x:c>
    </x:row>
    <x:row r="18">
      <x:c r="A18" t="str">
        <x:v>CPP YMPE (CAD)</x:v>
      </x:c>
      <x:c r="B18" t="n">
        <x:v>74600</x:v>
      </x:c>
      <x:c r="C18" t="str">
        <x:v>2026 YMPE</x:v>
      </x:c>
      <x:c r="D18" t="str">
        <x:v>CRA 2026</x:v>
      </x:c>
    </x:row>
    <x:row r="19">
      <x:c r="A19" t="str">
        <x:v>CPP Max Annual Employee Contribution (CAD)</x:v>
      </x:c>
      <x:c r="B19" t="n">
        <x:v>4230.45</x:v>
      </x:c>
      <x:c r="C19" t="str">
        <x:v>2026 maximum</x:v>
      </x:c>
      <x:c r="D19" t="str">
        <x:v>CRA 2026</x:v>
      </x:c>
    </x:row>
    <x:row r="20">
      <x:c r="A20" t="str">
        <x:v>CPP2 YAMPE (CAD)</x:v>
      </x:c>
      <x:c r="B20" t="n">
        <x:v>85000</x:v>
      </x:c>
      <x:c r="C20" t="str">
        <x:v>2026 YAMPE</x:v>
      </x:c>
      <x:c r="D20" t="str">
        <x:v>CRA 2026</x:v>
      </x:c>
    </x:row>
    <x:row r="21">
      <x:c r="A21" t="str">
        <x:v>CPP2 Employee Rate</x:v>
      </x:c>
      <x:c r="B21" s="32" t="n">
        <x:v>0.04</x:v>
      </x:c>
      <x:c r="C21" t="str">
        <x:v>2026 CPP2 rate</x:v>
      </x:c>
      <x:c r="D21" t="str">
        <x:v>CRA 2026</x:v>
      </x:c>
    </x:row>
    <x:row r="22">
      <x:c r="A22" t="str">
        <x:v>CPP2 Max Annual Employee Contribution (CAD)</x:v>
      </x:c>
      <x:c r="B22" t="n">
        <x:v>416</x:v>
      </x:c>
      <x:c r="C22" t="str">
        <x:v>2026 maximum</x:v>
      </x:c>
      <x:c r="D22" t="str">
        <x:v>CRA 2026</x:v>
      </x:c>
    </x:row>
    <x:row r="23">
      <x:c r="A23" t="str">
        <x:v>EI Max Annual Insurable Earnings (CAD)</x:v>
      </x:c>
      <x:c r="B23" t="n">
        <x:v>68900</x:v>
      </x:c>
      <x:c r="C23" t="str">
        <x:v>2026 maximum</x:v>
      </x:c>
      <x:c r="D23" t="str">
        <x:v>CRA 2026</x:v>
      </x:c>
    </x:row>
    <x:row r="24">
      <x:c r="A24" t="str">
        <x:v>EI Employee Rate</x:v>
      </x:c>
      <x:c r="B24" s="32" t="n">
        <x:v>0.0163</x:v>
      </x:c>
      <x:c r="C24" t="str">
        <x:v>2026 rate, Canada except Quebec</x:v>
      </x:c>
      <x:c r="D24" t="str">
        <x:v>CRA 2026</x:v>
      </x:c>
    </x:row>
    <x:row r="25">
      <x:c r="A25" t="str">
        <x:v>EI Max Annual Employee Premium (CAD)</x:v>
      </x:c>
      <x:c r="B25" t="n">
        <x:v>1123.07</x:v>
      </x:c>
      <x:c r="C25" t="str">
        <x:v>2026 maximum</x:v>
      </x:c>
      <x:c r="D25" t="str">
        <x:v>CRA 2026</x:v>
      </x:c>
    </x:row>
    <x:row r="27" ht="22" customHeight="1">
      <x:c r="A27" s="19" t="str">
        <x:v>2026 Federal Income Tax Brackets - Reference</x:v>
      </x:c>
    </x:row>
    <x:row r="28" ht="30" customHeight="1">
      <x:c r="A28" s="10" t="str">
        <x:v>Bracket</x:v>
      </x:c>
      <x:c r="B28" s="10" t="str">
        <x:v>Upper Limit (CAD)</x:v>
      </x:c>
      <x:c r="C28" s="10" t="str">
        <x:v>Rate</x:v>
      </x:c>
      <x:c r="D28" s="10" t="str">
        <x:v>Source</x:v>
      </x:c>
    </x:row>
    <x:row r="29">
      <x:c r="A29" t="str">
        <x:v>1</x:v>
      </x:c>
      <x:c r="B29" t="n">
        <x:v>58523</x:v>
      </x:c>
      <x:c r="C29" s="32" t="n">
        <x:v>0.14</x:v>
      </x:c>
      <x:c r="D29" t="str">
        <x:v>CRA T4032 Ontario 2026</x:v>
      </x:c>
    </x:row>
    <x:row r="30">
      <x:c r="A30" t="str">
        <x:v>2</x:v>
      </x:c>
      <x:c r="B30" t="n">
        <x:v>117045</x:v>
      </x:c>
      <x:c r="C30" s="32" t="n">
        <x:v>0.205</x:v>
      </x:c>
      <x:c r="D30" t="str">
        <x:v>CRA T4032 Ontario 2026</x:v>
      </x:c>
    </x:row>
    <x:row r="31">
      <x:c r="A31" t="str">
        <x:v>3</x:v>
      </x:c>
      <x:c r="B31" t="n">
        <x:v>181440</x:v>
      </x:c>
      <x:c r="C31" s="32" t="n">
        <x:v>0.26</x:v>
      </x:c>
      <x:c r="D31" t="str">
        <x:v>CRA T4032 Ontario 2026</x:v>
      </x:c>
    </x:row>
    <x:row r="32">
      <x:c r="A32" t="str">
        <x:v>4</x:v>
      </x:c>
      <x:c r="B32" t="n">
        <x:v>258482</x:v>
      </x:c>
      <x:c r="C32" s="32" t="n">
        <x:v>0.29</x:v>
      </x:c>
      <x:c r="D32" t="str">
        <x:v>CRA T4032 Ontario 2026</x:v>
      </x:c>
    </x:row>
    <x:row r="33">
      <x:c r="A33" t="str">
        <x:v>5</x:v>
      </x:c>
      <x:c r="B33" t="n">
        <x:v>999999999</x:v>
      </x:c>
      <x:c r="C33" s="32" t="n">
        <x:v>0.33</x:v>
      </x:c>
      <x:c r="D33" t="str">
        <x:v>CRA T4032 Ontario 2026</x:v>
      </x:c>
    </x:row>
    <x:row r="35" ht="22" customHeight="1">
      <x:c r="A35" s="19" t="str">
        <x:v>2026 Ontario Income Tax Brackets - Reference</x:v>
      </x:c>
    </x:row>
    <x:row r="36" ht="30" customHeight="1">
      <x:c r="A36" s="10" t="str">
        <x:v>Bracket</x:v>
      </x:c>
      <x:c r="B36" s="10" t="str">
        <x:v>Upper Limit (CAD)</x:v>
      </x:c>
      <x:c r="C36" s="10" t="str">
        <x:v>Rate</x:v>
      </x:c>
      <x:c r="D36" s="10" t="str">
        <x:v>Source</x:v>
      </x:c>
    </x:row>
    <x:row r="37">
      <x:c r="A37" t="str">
        <x:v>1</x:v>
      </x:c>
      <x:c r="B37" t="n">
        <x:v>53891</x:v>
      </x:c>
      <x:c r="C37" s="32" t="n">
        <x:v>0.0505</x:v>
      </x:c>
      <x:c r="D37" t="str">
        <x:v>CRA T4032 Ontario 2026</x:v>
      </x:c>
    </x:row>
    <x:row r="38">
      <x:c r="A38" t="str">
        <x:v>2</x:v>
      </x:c>
      <x:c r="B38" t="n">
        <x:v>107785</x:v>
      </x:c>
      <x:c r="C38" s="32" t="n">
        <x:v>0.0915</x:v>
      </x:c>
      <x:c r="D38" t="str">
        <x:v>CRA T4032 Ontario 2026</x:v>
      </x:c>
    </x:row>
    <x:row r="39">
      <x:c r="A39" t="str">
        <x:v>3</x:v>
      </x:c>
      <x:c r="B39" t="n">
        <x:v>150000</x:v>
      </x:c>
      <x:c r="C39" s="32" t="n">
        <x:v>0.1116</x:v>
      </x:c>
      <x:c r="D39" t="str">
        <x:v>CRA T4032 Ontario 2026</x:v>
      </x:c>
    </x:row>
    <x:row r="40">
      <x:c r="A40" t="str">
        <x:v>4</x:v>
      </x:c>
      <x:c r="B40" t="n">
        <x:v>220000</x:v>
      </x:c>
      <x:c r="C40" s="32" t="n">
        <x:v>0.1216</x:v>
      </x:c>
      <x:c r="D40" t="str">
        <x:v>CRA T4032 Ontario 2026</x:v>
      </x:c>
    </x:row>
    <x:row r="41">
      <x:c r="A41" t="str">
        <x:v>5</x:v>
      </x:c>
      <x:c r="B41" t="n">
        <x:v>999999999</x:v>
      </x:c>
      <x:c r="C41" s="32" t="n">
        <x:v>0.1316</x:v>
      </x:c>
      <x:c r="D41" t="str">
        <x:v>CRA T4032 Ontario 2026</x:v>
      </x:c>
    </x:row>
  </x:sheetData>
  <x:mergeCells>
    <x:mergeCell ref="A1:D1"/>
    <x:mergeCell ref="A27:D27"/>
    <x:mergeCell ref="A35:D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1" hidden="0" customWidth="1"/>
    <x:col min="4" max="4" width="13" hidden="0" customWidth="1"/>
    <x:col min="5" max="5" width="16" hidden="0" customWidth="1"/>
    <x:col min="6" max="6" width="20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22" hidden="0" customWidth="1"/>
  </x:cols>
  <x:sheetData>
    <x:row r="1" ht="28" customHeight="1">
      <x:c r="A1" s="3" t="str">
        <x:v>Employees - Sample Master Data</x:v>
      </x:c>
    </x:row>
    <x:row r="3" ht="30" customHeight="1">
      <x:c r="A3" s="10" t="str">
        <x:v>Employee ID</x:v>
      </x:c>
      <x:c r="B3" s="10" t="str">
        <x:v>Full Name</x:v>
      </x:c>
      <x:c r="C3" s="10" t="str">
        <x:v>Status</x:v>
      </x:c>
      <x:c r="D3" s="10" t="str">
        <x:v>Start Date</x:v>
      </x:c>
      <x:c r="E3" s="10" t="str">
        <x:v>Hourly Rate (CAD)</x:v>
      </x:c>
      <x:c r="F3" s="10" t="str">
        <x:v>Department</x:v>
      </x:c>
      <x:c r="G3" s="10" t="str">
        <x:v>Job Code</x:v>
      </x:c>
      <x:c r="H3" s="10" t="str">
        <x:v>Cost Centre</x:v>
      </x:c>
      <x:c r="I3" s="10" t="str">
        <x:v>Province</x:v>
      </x:c>
      <x:c r="J3" s="10" t="str">
        <x:v>Vacation Pay Rate</x:v>
      </x:c>
      <x:c r="K3" s="10" t="str">
        <x:v>Schedule Profile</x:v>
      </x:c>
    </x:row>
    <x:row r="4">
      <x:c r="A4" s="36" t="str">
        <x:v>EMP-001</x:v>
      </x:c>
      <x:c r="B4" s="36" t="str">
        <x:v>Olivia Martin</x:v>
      </x:c>
      <x:c r="C4" s="36" t="str">
        <x:v>Active</x:v>
      </x:c>
      <x:c r="D4" s="37" t="n">
        <x:v>45334</x:v>
      </x:c>
      <x:c r="E4" s="38" t="n">
        <x:v>29.5</x:v>
      </x:c>
      <x:c r="F4" s="36" t="str">
        <x:v>Operations</x:v>
      </x:c>
      <x:c r="G4" s="36" t="str">
        <x:v>OPS-02</x:v>
      </x:c>
      <x:c r="H4" s="36" t="str">
        <x:v>CC-100</x:v>
      </x:c>
      <x:c r="I4" s="36" t="str">
        <x:v>Ontario</x:v>
      </x:c>
      <x:c r="J4" s="39" t="n">
        <x:v>0.04</x:v>
      </x:c>
      <x:c r="K4" s="36" t="str">
        <x:v>Ontario Standard 6-Day</x:v>
      </x:c>
    </x:row>
    <x:row r="5">
      <x:c r="A5" s="36" t="str">
        <x:v>EMP-002</x:v>
      </x:c>
      <x:c r="B5" s="36" t="str">
        <x:v>Liam Chen</x:v>
      </x:c>
      <x:c r="C5" s="36" t="str">
        <x:v>Active</x:v>
      </x:c>
      <x:c r="D5" s="37" t="n">
        <x:v>45159</x:v>
      </x:c>
      <x:c r="E5" s="38" t="n">
        <x:v>26.75</x:v>
      </x:c>
      <x:c r="F5" s="36" t="str">
        <x:v>Warehouse</x:v>
      </x:c>
      <x:c r="G5" s="36" t="str">
        <x:v>WH-03</x:v>
      </x:c>
      <x:c r="H5" s="36" t="str">
        <x:v>CC-210</x:v>
      </x:c>
      <x:c r="I5" s="36" t="str">
        <x:v>Ontario</x:v>
      </x:c>
      <x:c r="J5" s="39" t="n">
        <x:v>0.04</x:v>
      </x:c>
      <x:c r="K5" s="36" t="str">
        <x:v>Ontario Standard 6-Day</x:v>
      </x:c>
    </x:row>
    <x:row r="6">
      <x:c r="A6" s="36" t="str">
        <x:v>EMP-003</x:v>
      </x:c>
      <x:c r="B6" s="36" t="str">
        <x:v>Ava Patel</x:v>
      </x:c>
      <x:c r="C6" s="36" t="str">
        <x:v>Active</x:v>
      </x:c>
      <x:c r="D6" s="37" t="n">
        <x:v>44872</x:v>
      </x:c>
      <x:c r="E6" s="38" t="n">
        <x:v>34.5</x:v>
      </x:c>
      <x:c r="F6" s="36" t="str">
        <x:v>Finance</x:v>
      </x:c>
      <x:c r="G6" s="36" t="str">
        <x:v>FIN-02</x:v>
      </x:c>
      <x:c r="H6" s="36" t="str">
        <x:v>CC-300</x:v>
      </x:c>
      <x:c r="I6" s="36" t="str">
        <x:v>Ontario</x:v>
      </x:c>
      <x:c r="J6" s="39" t="n">
        <x:v>0.04</x:v>
      </x:c>
      <x:c r="K6" s="36" t="str">
        <x:v>Ontario Standard 6-Day</x:v>
      </x:c>
    </x:row>
    <x:row r="7">
      <x:c r="A7" s="36" t="str">
        <x:v>EMP-004</x:v>
      </x:c>
      <x:c r="B7" s="36" t="str">
        <x:v>Noah Williams</x:v>
      </x:c>
      <x:c r="C7" s="36" t="str">
        <x:v>Active</x:v>
      </x:c>
      <x:c r="D7" s="37" t="n">
        <x:v>45670</x:v>
      </x:c>
      <x:c r="E7" s="38" t="n">
        <x:v>24.25</x:v>
      </x:c>
      <x:c r="F7" s="36" t="str">
        <x:v>Customer Support</x:v>
      </x:c>
      <x:c r="G7" s="36" t="str">
        <x:v>CS-01</x:v>
      </x:c>
      <x:c r="H7" s="36" t="str">
        <x:v>CC-410</x:v>
      </x:c>
      <x:c r="I7" s="36" t="str">
        <x:v>Ontario</x:v>
      </x:c>
      <x:c r="J7" s="39" t="n">
        <x:v>0.04</x:v>
      </x:c>
      <x:c r="K7" s="36" t="str">
        <x:v>Ontario Standard 6-Day</x:v>
      </x:c>
    </x:row>
    <x:row r="8">
      <x:c r="A8" s="36" t="str">
        <x:v>EMP-005</x:v>
      </x:c>
      <x:c r="B8" s="36" t="str">
        <x:v>Sophia Nguyen</x:v>
      </x:c>
      <x:c r="C8" s="36" t="str">
        <x:v>Active</x:v>
      </x:c>
      <x:c r="D8" s="37" t="n">
        <x:v>44333</x:v>
      </x:c>
      <x:c r="E8" s="38" t="n">
        <x:v>31</x:v>
      </x:c>
      <x:c r="F8" s="36" t="str">
        <x:v>Human Resources</x:v>
      </x:c>
      <x:c r="G8" s="36" t="str">
        <x:v>HR-02</x:v>
      </x:c>
      <x:c r="H8" s="36" t="str">
        <x:v>CC-500</x:v>
      </x:c>
      <x:c r="I8" s="36" t="str">
        <x:v>Ontario</x:v>
      </x:c>
      <x:c r="J8" s="39" t="n">
        <x:v>0.06</x:v>
      </x:c>
      <x:c r="K8" s="36" t="str">
        <x:v>Ontario Standard 6-Day</x:v>
      </x:c>
    </x:row>
    <x:row r="9">
      <x:c r="A9" s="36" t="str">
        <x:v>EMP-006</x:v>
      </x:c>
      <x:c r="B9" s="36" t="str">
        <x:v>Ethan Brown</x:v>
      </x:c>
      <x:c r="C9" s="36" t="str">
        <x:v>Active</x:v>
      </x:c>
      <x:c r="D9" s="37" t="n">
        <x:v>45566</x:v>
      </x:c>
      <x:c r="E9" s="38" t="n">
        <x:v>27.8</x:v>
      </x:c>
      <x:c r="F9" s="36" t="str">
        <x:v>Sales</x:v>
      </x:c>
      <x:c r="G9" s="36" t="str">
        <x:v>SAL-03</x:v>
      </x:c>
      <x:c r="H9" s="36" t="str">
        <x:v>CC-600</x:v>
      </x:c>
      <x:c r="I9" s="36" t="str">
        <x:v>Ontario</x:v>
      </x:c>
      <x:c r="J9" s="39" t="n">
        <x:v>0.04</x:v>
      </x:c>
      <x:c r="K9" s="36" t="str">
        <x:v>Ontario Standard 6-Day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24" hidden="0" customWidth="1"/>
    <x:col min="5" max="5" width="22" hidden="0" customWidth="1"/>
    <x:col min="6" max="6" width="14" hidden="0" customWidth="1"/>
  </x:cols>
  <x:sheetData>
    <x:row r="1" ht="28" customHeight="1">
      <x:c r="A1" s="3" t="str">
        <x:v>Standard Work Schedule</x:v>
      </x:c>
    </x:row>
    <x:row r="3" ht="30" customHeight="1">
      <x:c r="A3" s="10" t="str">
        <x:v>Day</x:v>
      </x:c>
      <x:c r="B3" s="10" t="str">
        <x:v>Shift Start</x:v>
      </x:c>
      <x:c r="C3" s="10" t="str">
        <x:v>Shift End</x:v>
      </x:c>
      <x:c r="D3" s="10" t="str">
        <x:v>Unpaid Meal Break (hrs)</x:v>
      </x:c>
      <x:c r="E3" s="10" t="str">
        <x:v>Scheduled Paid Hours</x:v>
      </x:c>
      <x:c r="F3" s="10" t="str">
        <x:v>Working Day</x:v>
      </x:c>
    </x:row>
    <x:row r="4">
      <x:c r="A4" t="str">
        <x:v>Monday</x:v>
      </x:c>
      <x:c r="B4" s="44" t="n">
        <x:v>0.3333333333333333</x:v>
      </x:c>
      <x:c r="C4" s="44" t="n">
        <x:v>0.7083333333333334</x:v>
      </x:c>
      <x:c r="D4" s="46" t="n">
        <x:v>1</x:v>
      </x:c>
      <x:c r="E4" s="46" t="n">
        <x:v>8</x:v>
      </x:c>
      <x:c r="F4" t="str">
        <x:v>Yes</x:v>
      </x:c>
    </x:row>
    <x:row r="5">
      <x:c r="A5" t="str">
        <x:v>Tuesday</x:v>
      </x:c>
      <x:c r="B5" s="44" t="n">
        <x:v>0.3333333333333333</x:v>
      </x:c>
      <x:c r="C5" s="44" t="n">
        <x:v>0.7083333333333334</x:v>
      </x:c>
      <x:c r="D5" s="46" t="n">
        <x:v>1</x:v>
      </x:c>
      <x:c r="E5" s="46" t="n">
        <x:v>8</x:v>
      </x:c>
      <x:c r="F5" t="str">
        <x:v>Yes</x:v>
      </x:c>
    </x:row>
    <x:row r="6">
      <x:c r="A6" t="str">
        <x:v>Wednesday</x:v>
      </x:c>
      <x:c r="B6" s="44" t="n">
        <x:v>0.3333333333333333</x:v>
      </x:c>
      <x:c r="C6" s="44" t="n">
        <x:v>0.7083333333333334</x:v>
      </x:c>
      <x:c r="D6" s="46" t="n">
        <x:v>1</x:v>
      </x:c>
      <x:c r="E6" s="46" t="n">
        <x:v>8</x:v>
      </x:c>
      <x:c r="F6" t="str">
        <x:v>Yes</x:v>
      </x:c>
    </x:row>
    <x:row r="7">
      <x:c r="A7" t="str">
        <x:v>Thursday</x:v>
      </x:c>
      <x:c r="B7" s="44" t="n">
        <x:v>0.3333333333333333</x:v>
      </x:c>
      <x:c r="C7" s="44" t="n">
        <x:v>0.7083333333333334</x:v>
      </x:c>
      <x:c r="D7" s="46" t="n">
        <x:v>1</x:v>
      </x:c>
      <x:c r="E7" s="46" t="n">
        <x:v>8</x:v>
      </x:c>
      <x:c r="F7" t="str">
        <x:v>Yes</x:v>
      </x:c>
    </x:row>
    <x:row r="8">
      <x:c r="A8" t="str">
        <x:v>Friday</x:v>
      </x:c>
      <x:c r="B8" s="44" t="n">
        <x:v>0.3333333333333333</x:v>
      </x:c>
      <x:c r="C8" s="44" t="n">
        <x:v>0.7083333333333334</x:v>
      </x:c>
      <x:c r="D8" s="46" t="n">
        <x:v>1</x:v>
      </x:c>
      <x:c r="E8" s="46" t="n">
        <x:v>8</x:v>
      </x:c>
      <x:c r="F8" t="str">
        <x:v>Yes</x:v>
      </x:c>
    </x:row>
    <x:row r="9">
      <x:c r="A9" t="str">
        <x:v>Saturday</x:v>
      </x:c>
      <x:c r="B9" s="44" t="n">
        <x:v>0.3333333333333333</x:v>
      </x:c>
      <x:c r="C9" s="44" t="n">
        <x:v>0.5833333333333334</x:v>
      </x:c>
      <x:c r="D9" s="46" t="n">
        <x:v>1</x:v>
      </x:c>
      <x:c r="E9" s="46" t="n">
        <x:v>5</x:v>
      </x:c>
      <x:c r="F9" t="str">
        <x:v>Yes</x:v>
      </x:c>
    </x:row>
    <x:row r="10">
      <x:c r="A10" t="str">
        <x:v>Sunday</x:v>
      </x:c>
      <x:c r="B10" s="44"/>
      <x:c r="C10" s="44"/>
      <x:c r="D10" s="46" t="n">
        <x:v>0</x:v>
      </x:c>
      <x:c r="E10" s="46" t="n">
        <x:v>0</x:v>
      </x:c>
      <x:c r="F10" t="str">
        <x:v>No</x:v>
      </x:c>
    </x:row>
    <x:row r="12">
      <x:c r="A12" s="48" t="str">
        <x:v>Monday-Friday: 08:00-17:00 with 1.0 hour unpaid meal break. Saturday: 08:00-14:00 with 1.0 hour unpaid meal break. Sunday: off.</x:v>
      </x:c>
      <x:c r="B12" s="48"/>
      <x:c r="C12" s="48"/>
      <x:c r="D12" s="48"/>
      <x:c r="E12" s="48"/>
      <x:c r="F12" s="48"/>
    </x:row>
  </x:sheetData>
  <x:mergeCells>
    <x:mergeCell ref="A1:F1"/>
    <x:mergeCell ref="A12:F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21" hidden="0" customWidth="1"/>
    <x:col min="4" max="4" width="40" hidden="0" customWidth="1"/>
    <x:col min="5" max="5" width="18" hidden="0" customWidth="1"/>
  </x:cols>
  <x:sheetData>
    <x:row r="1" ht="28" customHeight="1">
      <x:c r="A1" s="3" t="str">
        <x:v>Ontario Public Holidays - 2026</x:v>
      </x:c>
    </x:row>
    <x:row r="3" ht="30" customHeight="1">
      <x:c r="A3" s="10" t="str">
        <x:v>Date</x:v>
      </x:c>
      <x:c r="B3" s="10" t="str">
        <x:v>Holiday</x:v>
      </x:c>
      <x:c r="C3" s="10" t="str">
        <x:v>Ontario Public Holiday</x:v>
      </x:c>
      <x:c r="D3" s="10" t="str">
        <x:v>Workbook Treatment</x:v>
      </x:c>
      <x:c r="E3" s="10" t="str">
        <x:v>Source</x:v>
      </x:c>
    </x:row>
    <x:row r="4">
      <x:c r="A4" s="22" t="n">
        <x:v>46023</x:v>
      </x:c>
      <x:c r="B4" t="str">
        <x:v>New Year's Day</x:v>
      </x:c>
      <x:c r="C4" t="str">
        <x:v>Yes</x:v>
      </x:c>
      <x:c r="D4" t="str">
        <x:v>Paid public holiday row if scheduled working day</x:v>
      </x:c>
      <x:c r="E4" t="str">
        <x:v>Ontario ESA</x:v>
      </x:c>
    </x:row>
    <x:row r="5">
      <x:c r="A5" s="22" t="n">
        <x:v>46069</x:v>
      </x:c>
      <x:c r="B5" t="str">
        <x:v>Family Day</x:v>
      </x:c>
      <x:c r="C5" t="str">
        <x:v>Yes</x:v>
      </x:c>
      <x:c r="D5" t="str">
        <x:v>Paid public holiday row if scheduled working day</x:v>
      </x:c>
      <x:c r="E5" t="str">
        <x:v>Ontario ESA</x:v>
      </x:c>
    </x:row>
    <x:row r="6">
      <x:c r="A6" s="22" t="n">
        <x:v>46115</x:v>
      </x:c>
      <x:c r="B6" t="str">
        <x:v>Good Friday</x:v>
      </x:c>
      <x:c r="C6" t="str">
        <x:v>Yes</x:v>
      </x:c>
      <x:c r="D6" t="str">
        <x:v>Paid public holiday row if scheduled working day</x:v>
      </x:c>
      <x:c r="E6" t="str">
        <x:v>Ontario ESA</x:v>
      </x:c>
    </x:row>
    <x:row r="7">
      <x:c r="A7" s="22" t="n">
        <x:v>46160</x:v>
      </x:c>
      <x:c r="B7" t="str">
        <x:v>Victoria Day</x:v>
      </x:c>
      <x:c r="C7" t="str">
        <x:v>Yes</x:v>
      </x:c>
      <x:c r="D7" t="str">
        <x:v>Paid public holiday row if scheduled working day</x:v>
      </x:c>
      <x:c r="E7" t="str">
        <x:v>Ontario ESA</x:v>
      </x:c>
    </x:row>
    <x:row r="8">
      <x:c r="A8" s="22" t="n">
        <x:v>46204</x:v>
      </x:c>
      <x:c r="B8" t="str">
        <x:v>Canada Day</x:v>
      </x:c>
      <x:c r="C8" t="str">
        <x:v>Yes</x:v>
      </x:c>
      <x:c r="D8" t="str">
        <x:v>Paid public holiday row if scheduled working day</x:v>
      </x:c>
      <x:c r="E8" t="str">
        <x:v>Ontario ESA</x:v>
      </x:c>
    </x:row>
    <x:row r="9">
      <x:c r="A9" s="22" t="n">
        <x:v>46272</x:v>
      </x:c>
      <x:c r="B9" t="str">
        <x:v>Labour Day</x:v>
      </x:c>
      <x:c r="C9" t="str">
        <x:v>Yes</x:v>
      </x:c>
      <x:c r="D9" t="str">
        <x:v>Paid public holiday row if scheduled working day</x:v>
      </x:c>
      <x:c r="E9" t="str">
        <x:v>Ontario ESA</x:v>
      </x:c>
    </x:row>
    <x:row r="10">
      <x:c r="A10" s="22" t="n">
        <x:v>46307</x:v>
      </x:c>
      <x:c r="B10" t="str">
        <x:v>Thanksgiving Day</x:v>
      </x:c>
      <x:c r="C10" t="str">
        <x:v>Yes</x:v>
      </x:c>
      <x:c r="D10" t="str">
        <x:v>Paid public holiday row if scheduled working day</x:v>
      </x:c>
      <x:c r="E10" t="str">
        <x:v>Ontario ESA</x:v>
      </x:c>
    </x:row>
    <x:row r="11">
      <x:c r="A11" s="22" t="n">
        <x:v>46381</x:v>
      </x:c>
      <x:c r="B11" t="str">
        <x:v>Christmas Day</x:v>
      </x:c>
      <x:c r="C11" t="str">
        <x:v>Yes</x:v>
      </x:c>
      <x:c r="D11" t="str">
        <x:v>Paid public holiday row if scheduled working day</x:v>
      </x:c>
      <x:c r="E11" t="str">
        <x:v>Ontario ESA</x:v>
      </x:c>
    </x:row>
    <x:row r="12">
      <x:c r="A12" s="22" t="n">
        <x:v>46382</x:v>
      </x:c>
      <x:c r="B12" t="str">
        <x:v>Boxing Day</x:v>
      </x:c>
      <x:c r="C12" t="str">
        <x:v>Yes</x:v>
      </x:c>
      <x:c r="D12" t="str">
        <x:v>Paid public holiday row if scheduled working day</x:v>
      </x:c>
      <x:c r="E12" t="str">
        <x:v>Ontario ESA</x:v>
      </x:c>
    </x:row>
    <x:row r="14">
      <x:c r="A14" t="str">
        <x:v>Source URL</x:v>
      </x:c>
      <x:c r="B14" t="str">
        <x:v>https://www.ontario.ca/document/your-guide-employment-standards-act-0/public-holidays</x:v>
      </x:c>
      <x:c r="C14" t="str"/>
      <x:c r="D14" t="str"/>
      <x:c r="E14" t="str"/>
    </x:row>
    <x:row r="15">
      <x:c r="A15" t="str">
        <x:v>September Note</x:v>
      </x:c>
      <x:c r="B15" t="str">
        <x:v>Labour Day is Monday, 2026-09-07 and is applied in the current period.</x:v>
      </x:c>
      <x:c r="C15" t="str"/>
      <x:c r="D15" t="str"/>
      <x:c r="E15" t="str"/>
    </x:row>
  </x:sheetData>
  <x:mergeCells>
    <x:mergeCell ref="A1:E1"/>
    <x:mergeCell ref="B14:E14"/>
    <x:mergeCell ref="B15:E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0" hidden="0" customWidth="1"/>
    <x:col min="4" max="4" width="12" hidden="0" customWidth="1"/>
    <x:col min="5" max="5" width="13" hidden="0" customWidth="1"/>
    <x:col min="6" max="6" width="13" hidden="0" customWidth="1"/>
    <x:col min="7" max="7" width="11" hidden="0" customWidth="1"/>
    <x:col min="8" max="8" width="11" hidden="0" customWidth="1"/>
    <x:col min="9" max="9" width="18" hidden="0" customWidth="1"/>
    <x:col min="10" max="10" width="16" hidden="0" customWidth="1"/>
    <x:col min="11" max="11" width="12" hidden="0" customWidth="1"/>
    <x:col min="12" max="12" width="20" hidden="0" customWidth="1"/>
    <x:col min="13" max="13" width="13" hidden="0" customWidth="1"/>
    <x:col min="14" max="14" width="12" hidden="0" customWidth="1"/>
    <x:col min="15" max="15" width="22" hidden="0" customWidth="1"/>
    <x:col min="16" max="16" width="13" hidden="0" customWidth="1"/>
    <x:col min="17" max="17" width="14" hidden="0" customWidth="1"/>
    <x:col min="18" max="18" width="20" hidden="0" customWidth="1"/>
    <x:col min="19" max="19" width="18" hidden="0" customWidth="1"/>
    <x:col min="20" max="20" width="52" hidden="0" customWidth="1"/>
  </x:cols>
  <x:sheetData>
    <x:row r="1" ht="28" customHeight="1">
      <x:c r="A1" s="3" t="str">
        <x:v>Attendance &amp; Work Time - September 2026 (includes 2026-08-31 support row for weekly overtime continuity)</x:v>
      </x:c>
    </x:row>
    <x:row r="3" ht="30" customHeight="1">
      <x:c r="A3" s="10" t="str">
        <x:v>Date</x:v>
      </x:c>
      <x:c r="B3" s="10" t="str">
        <x:v>Employee ID</x:v>
      </x:c>
      <x:c r="C3" s="10" t="str">
        <x:v>Employee Name</x:v>
      </x:c>
      <x:c r="D3" s="10" t="str">
        <x:v>Day</x:v>
      </x:c>
      <x:c r="E3" s="10" t="str">
        <x:v>Scheduled Start</x:v>
      </x:c>
      <x:c r="F3" s="10" t="str">
        <x:v>Scheduled End</x:v>
      </x:c>
      <x:c r="G3" s="10" t="str">
        <x:v>Clock In</x:v>
      </x:c>
      <x:c r="H3" s="10" t="str">
        <x:v>Clock Out</x:v>
      </x:c>
      <x:c r="I3" s="10" t="str">
        <x:v>Unpaid Break (hrs)</x:v>
      </x:c>
      <x:c r="J3" s="10" t="str">
        <x:v>Leave Type</x:v>
      </x:c>
      <x:c r="K3" s="10" t="str">
        <x:v>Leave Hours</x:v>
      </x:c>
      <x:c r="L3" s="10" t="str">
        <x:v>Scheduled Paid Hours</x:v>
      </x:c>
      <x:c r="M3" s="10" t="str">
        <x:v>Worked Hours</x:v>
      </x:c>
      <x:c r="N3" s="10" t="str">
        <x:v>Week Start</x:v>
      </x:c>
      <x:c r="O3" s="10" t="str">
        <x:v>Weekly Worked Hours To Date</x:v>
      </x:c>
      <x:c r="P3" s="10" t="str">
        <x:v>Regular Hours</x:v>
      </x:c>
      <x:c r="Q3" s="10" t="str">
        <x:v>Overtime Hours</x:v>
      </x:c>
      <x:c r="R3" s="10" t="str">
        <x:v>Variance vs Schedule</x:v>
      </x:c>
      <x:c r="S3" s="10" t="str">
        <x:v>Status</x:v>
      </x:c>
      <x:c r="T3" s="10" t="str">
        <x:v>Notes</x:v>
      </x:c>
    </x:row>
    <x:row r="4">
      <x:c r="A4" s="37" t="n">
        <x:v>46265</x:v>
      </x:c>
      <x:c r="B4" s="36" t="str">
        <x:v>EMP-001</x:v>
      </x:c>
      <x:c r="C4" s="54" t="str">
        <x:f>IFERROR(VLOOKUP(B4,Employees!$A$4:$K$9,2,FALSE),"")</x:f>
        <x:v>Olivia Martin</x:v>
      </x:c>
      <x:c r="D4" s="54" t="str">
        <x:f>TEXT(A4,"dddd")</x:f>
        <x:v>Monday</x:v>
      </x:c>
      <x:c r="E4" s="56" t="n">
        <x:f>IFERROR(VLOOKUP(D4,'Work Schedule'!$A$4:$F$10,2,FALSE),"")</x:f>
        <x:v>0.3333333333333333</x:v>
      </x:c>
      <x:c r="F4" s="56" t="n">
        <x:f>IFERROR(VLOOKUP(D4,'Work Schedule'!$A$4:$F$10,3,FALSE),"")</x:f>
        <x:v>0.7083333333333334</x:v>
      </x:c>
      <x:c r="G4" s="50" t="n">
        <x:v>0.33055555555555555</x:v>
      </x:c>
      <x:c r="H4" s="50" t="n">
        <x:v>0.7125</x:v>
      </x:c>
      <x:c r="I4" s="52" t="n">
        <x:v>1</x:v>
      </x:c>
      <x:c r="J4" s="36" t="str">
        <x:v>None</x:v>
      </x:c>
      <x:c r="K4" s="52" t="n">
        <x:v>0</x:v>
      </x:c>
      <x:c r="L4" s="58" t="n">
        <x:f>IFERROR(VLOOKUP(D4,'Work Schedule'!$A$4:$F$10,5,FALSE),0)</x:f>
        <x:v>8</x:v>
      </x:c>
      <x:c r="M4" s="46" t="n">
        <x:f>IF(OR(G4="",H4=""),0,ROUND(MAX(0,(H4-G4)*24-I4),2))</x:f>
        <x:v>8.17</x:v>
      </x:c>
      <x:c r="N4" s="60" t="n">
        <x:f>A4-WEEKDAY(A4,2)+1</x:f>
        <x:v>46265</x:v>
      </x:c>
      <x:c r="O4" s="58" t="n">
        <x:f>ROUND(SUMIFS($M$4:$M$400,$B$4:$B$400,B4,$N$4:$N$400,N4,$A$4:$A$400,"&lt;="&amp;A4),2)</x:f>
        <x:v>8.17</x:v>
      </x:c>
      <x:c r="P4" s="46" t="n">
        <x:f>ROUND(MAX(0,M4-Q4),2)</x:f>
        <x:v>8.17</x:v>
      </x:c>
      <x:c r="Q4" s="46" t="n">
        <x:f>ROUND(MAX(0,O4-Settings!$B$13)-MAX(0,O4-M4-Settings!$B$13),2)</x:f>
        <x:v>0</x:v>
      </x:c>
      <x:c r="R4" s="46" t="n">
        <x:f>ROUND(M4+K4-L4,2)</x:f>
        <x:v>0.17</x:v>
      </x:c>
      <x:c r="S4" t="str">
        <x:f>IF(B4="","",IF(J4&lt;&gt;"None",J4,IF(Q4&gt;0,"Overtime",IF(G4&gt;E4,"Late",IF(H4&lt;F4,"Left Early","On Time")))))</x:f>
        <x:v>On Time</x:v>
      </x:c>
      <x:c r="T4" s="36" t="str"/>
    </x:row>
    <x:row r="5">
      <x:c r="A5" s="37" t="n">
        <x:v>46266</x:v>
      </x:c>
      <x:c r="B5" s="36" t="str">
        <x:v>EMP-001</x:v>
      </x:c>
      <x:c r="C5" s="54" t="str">
        <x:f>IFERROR(VLOOKUP(B5,Employees!$A$4:$K$9,2,FALSE),"")</x:f>
        <x:v>Olivia Martin</x:v>
      </x:c>
      <x:c r="D5" s="54" t="str">
        <x:f>TEXT(A5,"dddd")</x:f>
        <x:v>Tuesday</x:v>
      </x:c>
      <x:c r="E5" s="56" t="n">
        <x:f>IFERROR(VLOOKUP(D5,'Work Schedule'!$A$4:$F$10,2,FALSE),"")</x:f>
        <x:v>0.3333333333333333</x:v>
      </x:c>
      <x:c r="F5" s="56" t="n">
        <x:f>IFERROR(VLOOKUP(D5,'Work Schedule'!$A$4:$F$10,3,FALSE),"")</x:f>
        <x:v>0.7083333333333334</x:v>
      </x:c>
      <x:c r="G5" s="50" t="n">
        <x:v>0.3333333333333333</x:v>
      </x:c>
      <x:c r="H5" s="50" t="n">
        <x:v>0.7083333333333334</x:v>
      </x:c>
      <x:c r="I5" s="52" t="n">
        <x:v>1</x:v>
      </x:c>
      <x:c r="J5" s="36" t="str">
        <x:v>None</x:v>
      </x:c>
      <x:c r="K5" s="52" t="n">
        <x:v>0</x:v>
      </x:c>
      <x:c r="L5" s="58" t="n">
        <x:f>IFERROR(VLOOKUP(D5,'Work Schedule'!$A$4:$F$10,5,FALSE),0)</x:f>
        <x:v>8</x:v>
      </x:c>
      <x:c r="M5" s="46" t="n">
        <x:f>IF(OR(G5="",H5=""),0,ROUND(MAX(0,(H5-G5)*24-I5),2))</x:f>
        <x:v>8</x:v>
      </x:c>
      <x:c r="N5" s="60" t="n">
        <x:f>A5-WEEKDAY(A5,2)+1</x:f>
        <x:v>46265</x:v>
      </x:c>
      <x:c r="O5" s="58" t="n">
        <x:f>ROUND(SUMIFS($M$4:$M$400,$B$4:$B$400,B5,$N$4:$N$400,N5,$A$4:$A$400,"&lt;="&amp;A5),2)</x:f>
        <x:v>16.17</x:v>
      </x:c>
      <x:c r="P5" s="46" t="n">
        <x:f>ROUND(MAX(0,M5-Q5),2)</x:f>
        <x:v>8</x:v>
      </x:c>
      <x:c r="Q5" s="46" t="n">
        <x:f>ROUND(MAX(0,O5-Settings!$B$13)-MAX(0,O5-M5-Settings!$B$13),2)</x:f>
        <x:v>0</x:v>
      </x:c>
      <x:c r="R5" s="46" t="n">
        <x:f>ROUND(M5+K5-L5,2)</x:f>
        <x:v>0</x:v>
      </x:c>
      <x:c r="S5" t="str">
        <x:f>IF(B5="","",IF(J5&lt;&gt;"None",J5,IF(Q5&gt;0,"Overtime",IF(G5&gt;E5,"Late",IF(H5&lt;F5,"Left Early","On Time")))))</x:f>
        <x:v>On Time</x:v>
      </x:c>
      <x:c r="T5" s="36" t="str"/>
    </x:row>
    <x:row r="6">
      <x:c r="A6" s="37" t="n">
        <x:v>46267</x:v>
      </x:c>
      <x:c r="B6" s="36" t="str">
        <x:v>EMP-001</x:v>
      </x:c>
      <x:c r="C6" s="54" t="str">
        <x:f>IFERROR(VLOOKUP(B6,Employees!$A$4:$K$9,2,FALSE),"")</x:f>
        <x:v>Olivia Martin</x:v>
      </x:c>
      <x:c r="D6" s="54" t="str">
        <x:f>TEXT(A6,"dddd")</x:f>
        <x:v>Wednesday</x:v>
      </x:c>
      <x:c r="E6" s="56" t="n">
        <x:f>IFERROR(VLOOKUP(D6,'Work Schedule'!$A$4:$F$10,2,FALSE),"")</x:f>
        <x:v>0.3333333333333333</x:v>
      </x:c>
      <x:c r="F6" s="56" t="n">
        <x:f>IFERROR(VLOOKUP(D6,'Work Schedule'!$A$4:$F$10,3,FALSE),"")</x:f>
        <x:v>0.7083333333333334</x:v>
      </x:c>
      <x:c r="G6" s="50" t="n">
        <x:v>0.33125</x:v>
      </x:c>
      <x:c r="H6" s="50" t="n">
        <x:v>0.7069444444444445</x:v>
      </x:c>
      <x:c r="I6" s="52" t="n">
        <x:v>1</x:v>
      </x:c>
      <x:c r="J6" s="36" t="str">
        <x:v>None</x:v>
      </x:c>
      <x:c r="K6" s="52" t="n">
        <x:v>0</x:v>
      </x:c>
      <x:c r="L6" s="58" t="n">
        <x:f>IFERROR(VLOOKUP(D6,'Work Schedule'!$A$4:$F$10,5,FALSE),0)</x:f>
        <x:v>8</x:v>
      </x:c>
      <x:c r="M6" s="46" t="n">
        <x:f>IF(OR(G6="",H6=""),0,ROUND(MAX(0,(H6-G6)*24-I6),2))</x:f>
        <x:v>8.02</x:v>
      </x:c>
      <x:c r="N6" s="60" t="n">
        <x:f>A6-WEEKDAY(A6,2)+1</x:f>
        <x:v>46265</x:v>
      </x:c>
      <x:c r="O6" s="58" t="n">
        <x:f>ROUND(SUMIFS($M$4:$M$400,$B$4:$B$400,B6,$N$4:$N$400,N6,$A$4:$A$400,"&lt;="&amp;A6),2)</x:f>
        <x:v>24.19</x:v>
      </x:c>
      <x:c r="P6" s="46" t="n">
        <x:f>ROUND(MAX(0,M6-Q6),2)</x:f>
        <x:v>8.02</x:v>
      </x:c>
      <x:c r="Q6" s="46" t="n">
        <x:f>ROUND(MAX(0,O6-Settings!$B$13)-MAX(0,O6-M6-Settings!$B$13),2)</x:f>
        <x:v>0</x:v>
      </x:c>
      <x:c r="R6" s="46" t="n">
        <x:f>ROUND(M6+K6-L6,2)</x:f>
        <x:v>0.02</x:v>
      </x:c>
      <x:c r="S6" t="str">
        <x:f>IF(B6="","",IF(J6&lt;&gt;"None",J6,IF(Q6&gt;0,"Overtime",IF(G6&gt;E6,"Late",IF(H6&lt;F6,"Left Early","On Time")))))</x:f>
        <x:v>Left Early</x:v>
      </x:c>
      <x:c r="T6" s="36" t="str"/>
    </x:row>
    <x:row r="7">
      <x:c r="A7" s="37" t="n">
        <x:v>46268</x:v>
      </x:c>
      <x:c r="B7" s="36" t="str">
        <x:v>EMP-001</x:v>
      </x:c>
      <x:c r="C7" s="54" t="str">
        <x:f>IFERROR(VLOOKUP(B7,Employees!$A$4:$K$9,2,FALSE),"")</x:f>
        <x:v>Olivia Martin</x:v>
      </x:c>
      <x:c r="D7" s="54" t="str">
        <x:f>TEXT(A7,"dddd")</x:f>
        <x:v>Thursday</x:v>
      </x:c>
      <x:c r="E7" s="56" t="n">
        <x:f>IFERROR(VLOOKUP(D7,'Work Schedule'!$A$4:$F$10,2,FALSE),"")</x:f>
        <x:v>0.3333333333333333</x:v>
      </x:c>
      <x:c r="F7" s="56" t="n">
        <x:f>IFERROR(VLOOKUP(D7,'Work Schedule'!$A$4:$F$10,3,FALSE),"")</x:f>
        <x:v>0.7083333333333334</x:v>
      </x:c>
      <x:c r="G7" s="50" t="n">
        <x:v>0.3347222222222222</x:v>
      </x:c>
      <x:c r="H7" s="50" t="n">
        <x:v>0.7118055555555556</x:v>
      </x:c>
      <x:c r="I7" s="52" t="n">
        <x:v>1</x:v>
      </x:c>
      <x:c r="J7" s="36" t="str">
        <x:v>None</x:v>
      </x:c>
      <x:c r="K7" s="52" t="n">
        <x:v>0</x:v>
      </x:c>
      <x:c r="L7" s="58" t="n">
        <x:f>IFERROR(VLOOKUP(D7,'Work Schedule'!$A$4:$F$10,5,FALSE),0)</x:f>
        <x:v>8</x:v>
      </x:c>
      <x:c r="M7" s="46" t="n">
        <x:f>IF(OR(G7="",H7=""),0,ROUND(MAX(0,(H7-G7)*24-I7),2))</x:f>
        <x:v>8.05</x:v>
      </x:c>
      <x:c r="N7" s="60" t="n">
        <x:f>A7-WEEKDAY(A7,2)+1</x:f>
        <x:v>46265</x:v>
      </x:c>
      <x:c r="O7" s="58" t="n">
        <x:f>ROUND(SUMIFS($M$4:$M$400,$B$4:$B$400,B7,$N$4:$N$400,N7,$A$4:$A$400,"&lt;="&amp;A7),2)</x:f>
        <x:v>32.24</x:v>
      </x:c>
      <x:c r="P7" s="46" t="n">
        <x:f>ROUND(MAX(0,M7-Q7),2)</x:f>
        <x:v>8.05</x:v>
      </x:c>
      <x:c r="Q7" s="46" t="n">
        <x:f>ROUND(MAX(0,O7-Settings!$B$13)-MAX(0,O7-M7-Settings!$B$13),2)</x:f>
        <x:v>0</x:v>
      </x:c>
      <x:c r="R7" s="46" t="n">
        <x:f>ROUND(M7+K7-L7,2)</x:f>
        <x:v>0.05</x:v>
      </x:c>
      <x:c r="S7" t="str">
        <x:f>IF(B7="","",IF(J7&lt;&gt;"None",J7,IF(Q7&gt;0,"Overtime",IF(G7&gt;E7,"Late",IF(H7&lt;F7,"Left Early","On Time")))))</x:f>
        <x:v>Late</x:v>
      </x:c>
      <x:c r="T7" s="36" t="str"/>
    </x:row>
    <x:row r="8">
      <x:c r="A8" s="37" t="n">
        <x:v>46269</x:v>
      </x:c>
      <x:c r="B8" s="36" t="str">
        <x:v>EMP-001</x:v>
      </x:c>
      <x:c r="C8" s="54" t="str">
        <x:f>IFERROR(VLOOKUP(B8,Employees!$A$4:$K$9,2,FALSE),"")</x:f>
        <x:v>Olivia Martin</x:v>
      </x:c>
      <x:c r="D8" s="54" t="str">
        <x:f>TEXT(A8,"dddd")</x:f>
        <x:v>Friday</x:v>
      </x:c>
      <x:c r="E8" s="56" t="n">
        <x:f>IFERROR(VLOOKUP(D8,'Work Schedule'!$A$4:$F$10,2,FALSE),"")</x:f>
        <x:v>0.3333333333333333</x:v>
      </x:c>
      <x:c r="F8" s="56" t="n">
        <x:f>IFERROR(VLOOKUP(D8,'Work Schedule'!$A$4:$F$10,3,FALSE),"")</x:f>
        <x:v>0.7083333333333334</x:v>
      </x:c>
      <x:c r="G8" s="50" t="n">
        <x:v>0.3347222222222222</x:v>
      </x:c>
      <x:c r="H8" s="50" t="n">
        <x:v>0.7104166666666667</x:v>
      </x:c>
      <x:c r="I8" s="52" t="n">
        <x:v>1</x:v>
      </x:c>
      <x:c r="J8" s="36" t="str">
        <x:v>None</x:v>
      </x:c>
      <x:c r="K8" s="52" t="n">
        <x:v>0</x:v>
      </x:c>
      <x:c r="L8" s="58" t="n">
        <x:f>IFERROR(VLOOKUP(D8,'Work Schedule'!$A$4:$F$10,5,FALSE),0)</x:f>
        <x:v>8</x:v>
      </x:c>
      <x:c r="M8" s="46" t="n">
        <x:f>IF(OR(G8="",H8=""),0,ROUND(MAX(0,(H8-G8)*24-I8),2))</x:f>
        <x:v>8.02</x:v>
      </x:c>
      <x:c r="N8" s="60" t="n">
        <x:f>A8-WEEKDAY(A8,2)+1</x:f>
        <x:v>46265</x:v>
      </x:c>
      <x:c r="O8" s="58" t="n">
        <x:f>ROUND(SUMIFS($M$4:$M$400,$B$4:$B$400,B8,$N$4:$N$400,N8,$A$4:$A$400,"&lt;="&amp;A8),2)</x:f>
        <x:v>40.26</x:v>
      </x:c>
      <x:c r="P8" s="46" t="n">
        <x:f>ROUND(MAX(0,M8-Q8),2)</x:f>
        <x:v>8.02</x:v>
      </x:c>
      <x:c r="Q8" s="46" t="n">
        <x:f>ROUND(MAX(0,O8-Settings!$B$13)-MAX(0,O8-M8-Settings!$B$13),2)</x:f>
        <x:v>0</x:v>
      </x:c>
      <x:c r="R8" s="46" t="n">
        <x:f>ROUND(M8+K8-L8,2)</x:f>
        <x:v>0.02</x:v>
      </x:c>
      <x:c r="S8" t="str">
        <x:f>IF(B8="","",IF(J8&lt;&gt;"None",J8,IF(Q8&gt;0,"Overtime",IF(G8&gt;E8,"Late",IF(H8&lt;F8,"Left Early","On Time")))))</x:f>
        <x:v>Late</x:v>
      </x:c>
      <x:c r="T8" s="36" t="str"/>
    </x:row>
    <x:row r="9">
      <x:c r="A9" s="37" t="n">
        <x:v>46270</x:v>
      </x:c>
      <x:c r="B9" s="36" t="str">
        <x:v>EMP-001</x:v>
      </x:c>
      <x:c r="C9" s="54" t="str">
        <x:f>IFERROR(VLOOKUP(B9,Employees!$A$4:$K$9,2,FALSE),"")</x:f>
        <x:v>Olivia Martin</x:v>
      </x:c>
      <x:c r="D9" s="54" t="str">
        <x:f>TEXT(A9,"dddd")</x:f>
        <x:v>Saturday</x:v>
      </x:c>
      <x:c r="E9" s="56" t="n">
        <x:f>IFERROR(VLOOKUP(D9,'Work Schedule'!$A$4:$F$10,2,FALSE),"")</x:f>
        <x:v>0.3333333333333333</x:v>
      </x:c>
      <x:c r="F9" s="56" t="n">
        <x:f>IFERROR(VLOOKUP(D9,'Work Schedule'!$A$4:$F$10,3,FALSE),"")</x:f>
        <x:v>0.5833333333333334</x:v>
      </x:c>
      <x:c r="G9" s="50" t="n">
        <x:v>0.33125</x:v>
      </x:c>
      <x:c r="H9" s="50" t="n">
        <x:v>0.5833333333333334</x:v>
      </x:c>
      <x:c r="I9" s="52" t="n">
        <x:v>1</x:v>
      </x:c>
      <x:c r="J9" s="36" t="str">
        <x:v>None</x:v>
      </x:c>
      <x:c r="K9" s="52" t="n">
        <x:v>0</x:v>
      </x:c>
      <x:c r="L9" s="58" t="n">
        <x:f>IFERROR(VLOOKUP(D9,'Work Schedule'!$A$4:$F$10,5,FALSE),0)</x:f>
        <x:v>5</x:v>
      </x:c>
      <x:c r="M9" s="46" t="n">
        <x:f>IF(OR(G9="",H9=""),0,ROUND(MAX(0,(H9-G9)*24-I9),2))</x:f>
        <x:v>5.05</x:v>
      </x:c>
      <x:c r="N9" s="60" t="n">
        <x:f>A9-WEEKDAY(A9,2)+1</x:f>
        <x:v>46265</x:v>
      </x:c>
      <x:c r="O9" s="58" t="n">
        <x:f>ROUND(SUMIFS($M$4:$M$400,$B$4:$B$400,B9,$N$4:$N$400,N9,$A$4:$A$400,"&lt;="&amp;A9),2)</x:f>
        <x:v>45.31</x:v>
      </x:c>
      <x:c r="P9" s="46" t="n">
        <x:f>ROUND(MAX(0,M9-Q9),2)</x:f>
        <x:v>3.74</x:v>
      </x:c>
      <x:c r="Q9" s="46" t="n">
        <x:f>ROUND(MAX(0,O9-Settings!$B$13)-MAX(0,O9-M9-Settings!$B$13),2)</x:f>
        <x:v>1.31</x:v>
      </x:c>
      <x:c r="R9" s="46" t="n">
        <x:f>ROUND(M9+K9-L9,2)</x:f>
        <x:v>0.05</x:v>
      </x:c>
      <x:c r="S9" t="str">
        <x:f>IF(B9="","",IF(J9&lt;&gt;"None",J9,IF(Q9&gt;0,"Overtime",IF(G9&gt;E9,"Late",IF(H9&lt;F9,"Left Early","On Time")))))</x:f>
        <x:v>Overtime</x:v>
      </x:c>
      <x:c r="T9" s="36" t="str"/>
    </x:row>
    <x:row r="10">
      <x:c r="A10" s="37" t="n">
        <x:v>46272</x:v>
      </x:c>
      <x:c r="B10" s="36" t="str">
        <x:v>EMP-001</x:v>
      </x:c>
      <x:c r="C10" s="54" t="str">
        <x:f>IFERROR(VLOOKUP(B10,Employees!$A$4:$K$9,2,FALSE),"")</x:f>
        <x:v>Olivia Martin</x:v>
      </x:c>
      <x:c r="D10" s="54" t="str">
        <x:f>TEXT(A10,"dddd")</x:f>
        <x:v>Monday</x:v>
      </x:c>
      <x:c r="E10" s="56" t="n">
        <x:f>IFERROR(VLOOKUP(D10,'Work Schedule'!$A$4:$F$10,2,FALSE),"")</x:f>
        <x:v>0.3333333333333333</x:v>
      </x:c>
      <x:c r="F10" s="56" t="n">
        <x:f>IFERROR(VLOOKUP(D10,'Work Schedule'!$A$4:$F$10,3,FALSE),"")</x:f>
        <x:v>0.7083333333333334</x:v>
      </x:c>
      <x:c r="G10" s="50"/>
      <x:c r="H10" s="50"/>
      <x:c r="I10" s="52" t="n">
        <x:v>0</x:v>
      </x:c>
      <x:c r="J10" s="36" t="str">
        <x:v>Public Holiday</x:v>
      </x:c>
      <x:c r="K10" s="52" t="n">
        <x:v>8</x:v>
      </x:c>
      <x:c r="L10" s="58" t="n">
        <x:f>IFERROR(VLOOKUP(D10,'Work Schedule'!$A$4:$F$10,5,FALSE),0)</x:f>
        <x:v>8</x:v>
      </x:c>
      <x:c r="M10" s="46" t="n">
        <x:f>IF(OR(G10="",H10=""),0,ROUND(MAX(0,(H10-G10)*24-I10),2))</x:f>
        <x:v>0</x:v>
      </x:c>
      <x:c r="N10" s="60" t="n">
        <x:f>A10-WEEKDAY(A10,2)+1</x:f>
        <x:v>46272</x:v>
      </x:c>
      <x:c r="O10" s="58" t="n">
        <x:f>ROUND(SUMIFS($M$4:$M$400,$B$4:$B$400,B10,$N$4:$N$400,N10,$A$4:$A$400,"&lt;="&amp;A10),2)</x:f>
        <x:v>0</x:v>
      </x:c>
      <x:c r="P10" s="46" t="n">
        <x:f>ROUND(MAX(0,M10-Q10),2)</x:f>
        <x:v>0</x:v>
      </x:c>
      <x:c r="Q10" s="46" t="n">
        <x:f>ROUND(MAX(0,O10-Settings!$B$13)-MAX(0,O10-M10-Settings!$B$13),2)</x:f>
        <x:v>0</x:v>
      </x:c>
      <x:c r="R10" s="46" t="n">
        <x:f>ROUND(M10+K10-L10,2)</x:f>
        <x:v>0</x:v>
      </x:c>
      <x:c r="S10" t="str">
        <x:f>IF(B10="","",IF(J10&lt;&gt;"None",J10,IF(Q10&gt;0,"Overtime",IF(G10&gt;E10,"Late",IF(H10&lt;F10,"Left Early","On Time")))))</x:f>
        <x:v>Public Holiday</x:v>
      </x:c>
      <x:c r="T10" s="36" t="str">
        <x:v>Labour Day</x:v>
      </x:c>
    </x:row>
    <x:row r="11">
      <x:c r="A11" s="37" t="n">
        <x:v>46273</x:v>
      </x:c>
      <x:c r="B11" s="36" t="str">
        <x:v>EMP-001</x:v>
      </x:c>
      <x:c r="C11" s="54" t="str">
        <x:f>IFERROR(VLOOKUP(B11,Employees!$A$4:$K$9,2,FALSE),"")</x:f>
        <x:v>Olivia Martin</x:v>
      </x:c>
      <x:c r="D11" s="54" t="str">
        <x:f>TEXT(A11,"dddd")</x:f>
        <x:v>Tuesday</x:v>
      </x:c>
      <x:c r="E11" s="56" t="n">
        <x:f>IFERROR(VLOOKUP(D11,'Work Schedule'!$A$4:$F$10,2,FALSE),"")</x:f>
        <x:v>0.3333333333333333</x:v>
      </x:c>
      <x:c r="F11" s="56" t="n">
        <x:f>IFERROR(VLOOKUP(D11,'Work Schedule'!$A$4:$F$10,3,FALSE),"")</x:f>
        <x:v>0.7083333333333334</x:v>
      </x:c>
      <x:c r="G11" s="50" t="n">
        <x:v>0.33125</x:v>
      </x:c>
      <x:c r="H11" s="50" t="n">
        <x:v>0.7104166666666667</x:v>
      </x:c>
      <x:c r="I11" s="52" t="n">
        <x:v>1</x:v>
      </x:c>
      <x:c r="J11" s="36" t="str">
        <x:v>None</x:v>
      </x:c>
      <x:c r="K11" s="52" t="n">
        <x:v>0</x:v>
      </x:c>
      <x:c r="L11" s="58" t="n">
        <x:f>IFERROR(VLOOKUP(D11,'Work Schedule'!$A$4:$F$10,5,FALSE),0)</x:f>
        <x:v>8</x:v>
      </x:c>
      <x:c r="M11" s="46" t="n">
        <x:f>IF(OR(G11="",H11=""),0,ROUND(MAX(0,(H11-G11)*24-I11),2))</x:f>
        <x:v>8.1</x:v>
      </x:c>
      <x:c r="N11" s="60" t="n">
        <x:f>A11-WEEKDAY(A11,2)+1</x:f>
        <x:v>46272</x:v>
      </x:c>
      <x:c r="O11" s="58" t="n">
        <x:f>ROUND(SUMIFS($M$4:$M$400,$B$4:$B$400,B11,$N$4:$N$400,N11,$A$4:$A$400,"&lt;="&amp;A11),2)</x:f>
        <x:v>8.1</x:v>
      </x:c>
      <x:c r="P11" s="46" t="n">
        <x:f>ROUND(MAX(0,M11-Q11),2)</x:f>
        <x:v>8.1</x:v>
      </x:c>
      <x:c r="Q11" s="46" t="n">
        <x:f>ROUND(MAX(0,O11-Settings!$B$13)-MAX(0,O11-M11-Settings!$B$13),2)</x:f>
        <x:v>0</x:v>
      </x:c>
      <x:c r="R11" s="46" t="n">
        <x:f>ROUND(M11+K11-L11,2)</x:f>
        <x:v>0.1</x:v>
      </x:c>
      <x:c r="S11" t="str">
        <x:f>IF(B11="","",IF(J11&lt;&gt;"None",J11,IF(Q11&gt;0,"Overtime",IF(G11&gt;E11,"Late",IF(H11&lt;F11,"Left Early","On Time")))))</x:f>
        <x:v>On Time</x:v>
      </x:c>
      <x:c r="T11" s="36" t="str"/>
    </x:row>
    <x:row r="12">
      <x:c r="A12" s="37" t="n">
        <x:v>46274</x:v>
      </x:c>
      <x:c r="B12" s="36" t="str">
        <x:v>EMP-001</x:v>
      </x:c>
      <x:c r="C12" s="54" t="str">
        <x:f>IFERROR(VLOOKUP(B12,Employees!$A$4:$K$9,2,FALSE),"")</x:f>
        <x:v>Olivia Martin</x:v>
      </x:c>
      <x:c r="D12" s="54" t="str">
        <x:f>TEXT(A12,"dddd")</x:f>
        <x:v>Wednesday</x:v>
      </x:c>
      <x:c r="E12" s="56" t="n">
        <x:f>IFERROR(VLOOKUP(D12,'Work Schedule'!$A$4:$F$10,2,FALSE),"")</x:f>
        <x:v>0.3333333333333333</x:v>
      </x:c>
      <x:c r="F12" s="56" t="n">
        <x:f>IFERROR(VLOOKUP(D12,'Work Schedule'!$A$4:$F$10,3,FALSE),"")</x:f>
        <x:v>0.7083333333333334</x:v>
      </x:c>
      <x:c r="G12" s="50" t="n">
        <x:v>0.33541666666666664</x:v>
      </x:c>
      <x:c r="H12" s="50" t="n">
        <x:v>0.7111111111111111</x:v>
      </x:c>
      <x:c r="I12" s="52" t="n">
        <x:v>1</x:v>
      </x:c>
      <x:c r="J12" s="36" t="str">
        <x:v>None</x:v>
      </x:c>
      <x:c r="K12" s="52" t="n">
        <x:v>0</x:v>
      </x:c>
      <x:c r="L12" s="58" t="n">
        <x:f>IFERROR(VLOOKUP(D12,'Work Schedule'!$A$4:$F$10,5,FALSE),0)</x:f>
        <x:v>8</x:v>
      </x:c>
      <x:c r="M12" s="46" t="n">
        <x:f>IF(OR(G12="",H12=""),0,ROUND(MAX(0,(H12-G12)*24-I12),2))</x:f>
        <x:v>8.02</x:v>
      </x:c>
      <x:c r="N12" s="60" t="n">
        <x:f>A12-WEEKDAY(A12,2)+1</x:f>
        <x:v>46272</x:v>
      </x:c>
      <x:c r="O12" s="58" t="n">
        <x:f>ROUND(SUMIFS($M$4:$M$400,$B$4:$B$400,B12,$N$4:$N$400,N12,$A$4:$A$400,"&lt;="&amp;A12),2)</x:f>
        <x:v>16.12</x:v>
      </x:c>
      <x:c r="P12" s="46" t="n">
        <x:f>ROUND(MAX(0,M12-Q12),2)</x:f>
        <x:v>8.02</x:v>
      </x:c>
      <x:c r="Q12" s="46" t="n">
        <x:f>ROUND(MAX(0,O12-Settings!$B$13)-MAX(0,O12-M12-Settings!$B$13),2)</x:f>
        <x:v>0</x:v>
      </x:c>
      <x:c r="R12" s="46" t="n">
        <x:f>ROUND(M12+K12-L12,2)</x:f>
        <x:v>0.02</x:v>
      </x:c>
      <x:c r="S12" t="str">
        <x:f>IF(B12="","",IF(J12&lt;&gt;"None",J12,IF(Q12&gt;0,"Overtime",IF(G12&gt;E12,"Late",IF(H12&lt;F12,"Left Early","On Time")))))</x:f>
        <x:v>Late</x:v>
      </x:c>
      <x:c r="T12" s="36" t="str">
        <x:v>Arrived 3 minutes late due to traffic.</x:v>
      </x:c>
    </x:row>
    <x:row r="13">
      <x:c r="A13" s="37" t="n">
        <x:v>46275</x:v>
      </x:c>
      <x:c r="B13" s="36" t="str">
        <x:v>EMP-001</x:v>
      </x:c>
      <x:c r="C13" s="54" t="str">
        <x:f>IFERROR(VLOOKUP(B13,Employees!$A$4:$K$9,2,FALSE),"")</x:f>
        <x:v>Olivia Martin</x:v>
      </x:c>
      <x:c r="D13" s="54" t="str">
        <x:f>TEXT(A13,"dddd")</x:f>
        <x:v>Thursday</x:v>
      </x:c>
      <x:c r="E13" s="56" t="n">
        <x:f>IFERROR(VLOOKUP(D13,'Work Schedule'!$A$4:$F$10,2,FALSE),"")</x:f>
        <x:v>0.3333333333333333</x:v>
      </x:c>
      <x:c r="F13" s="56" t="n">
        <x:f>IFERROR(VLOOKUP(D13,'Work Schedule'!$A$4:$F$10,3,FALSE),"")</x:f>
        <x:v>0.7083333333333334</x:v>
      </x:c>
      <x:c r="G13" s="50" t="n">
        <x:v>0.3347222222222222</x:v>
      </x:c>
      <x:c r="H13" s="50" t="n">
        <x:v>0.7069444444444445</x:v>
      </x:c>
      <x:c r="I13" s="52" t="n">
        <x:v>1</x:v>
      </x:c>
      <x:c r="J13" s="36" t="str">
        <x:v>None</x:v>
      </x:c>
      <x:c r="K13" s="52" t="n">
        <x:v>0</x:v>
      </x:c>
      <x:c r="L13" s="58" t="n">
        <x:f>IFERROR(VLOOKUP(D13,'Work Schedule'!$A$4:$F$10,5,FALSE),0)</x:f>
        <x:v>8</x:v>
      </x:c>
      <x:c r="M13" s="46" t="n">
        <x:f>IF(OR(G13="",H13=""),0,ROUND(MAX(0,(H13-G13)*24-I13),2))</x:f>
        <x:v>7.93</x:v>
      </x:c>
      <x:c r="N13" s="60" t="n">
        <x:f>A13-WEEKDAY(A13,2)+1</x:f>
        <x:v>46272</x:v>
      </x:c>
      <x:c r="O13" s="58" t="n">
        <x:f>ROUND(SUMIFS($M$4:$M$400,$B$4:$B$400,B13,$N$4:$N$400,N13,$A$4:$A$400,"&lt;="&amp;A13),2)</x:f>
        <x:v>24.05</x:v>
      </x:c>
      <x:c r="P13" s="46" t="n">
        <x:f>ROUND(MAX(0,M13-Q13),2)</x:f>
        <x:v>7.93</x:v>
      </x:c>
      <x:c r="Q13" s="46" t="n">
        <x:f>ROUND(MAX(0,O13-Settings!$B$13)-MAX(0,O13-M13-Settings!$B$13),2)</x:f>
        <x:v>0</x:v>
      </x:c>
      <x:c r="R13" s="46" t="n">
        <x:f>ROUND(M13+K13-L13,2)</x:f>
        <x:v>-0.07</x:v>
      </x:c>
      <x:c r="S13" t="str">
        <x:f>IF(B13="","",IF(J13&lt;&gt;"None",J13,IF(Q13&gt;0,"Overtime",IF(G13&gt;E13,"Late",IF(H13&lt;F13,"Left Early","On Time")))))</x:f>
        <x:v>Late</x:v>
      </x:c>
      <x:c r="T13" s="36" t="str"/>
    </x:row>
    <x:row r="14">
      <x:c r="A14" s="37" t="n">
        <x:v>46276</x:v>
      </x:c>
      <x:c r="B14" s="36" t="str">
        <x:v>EMP-001</x:v>
      </x:c>
      <x:c r="C14" s="54" t="str">
        <x:f>IFERROR(VLOOKUP(B14,Employees!$A$4:$K$9,2,FALSE),"")</x:f>
        <x:v>Olivia Martin</x:v>
      </x:c>
      <x:c r="D14" s="54" t="str">
        <x:f>TEXT(A14,"dddd")</x:f>
        <x:v>Friday</x:v>
      </x:c>
      <x:c r="E14" s="56" t="n">
        <x:f>IFERROR(VLOOKUP(D14,'Work Schedule'!$A$4:$F$10,2,FALSE),"")</x:f>
        <x:v>0.3333333333333333</x:v>
      </x:c>
      <x:c r="F14" s="56" t="n">
        <x:f>IFERROR(VLOOKUP(D14,'Work Schedule'!$A$4:$F$10,3,FALSE),"")</x:f>
        <x:v>0.7083333333333334</x:v>
      </x:c>
      <x:c r="G14" s="50" t="n">
        <x:v>0.3347222222222222</x:v>
      </x:c>
      <x:c r="H14" s="50" t="n">
        <x:v>0.7076388888888889</x:v>
      </x:c>
      <x:c r="I14" s="52" t="n">
        <x:v>1</x:v>
      </x:c>
      <x:c r="J14" s="36" t="str">
        <x:v>None</x:v>
      </x:c>
      <x:c r="K14" s="52" t="n">
        <x:v>0</x:v>
      </x:c>
      <x:c r="L14" s="58" t="n">
        <x:f>IFERROR(VLOOKUP(D14,'Work Schedule'!$A$4:$F$10,5,FALSE),0)</x:f>
        <x:v>8</x:v>
      </x:c>
      <x:c r="M14" s="46" t="n">
        <x:f>IF(OR(G14="",H14=""),0,ROUND(MAX(0,(H14-G14)*24-I14),2))</x:f>
        <x:v>7.95</x:v>
      </x:c>
      <x:c r="N14" s="60" t="n">
        <x:f>A14-WEEKDAY(A14,2)+1</x:f>
        <x:v>46272</x:v>
      </x:c>
      <x:c r="O14" s="58" t="n">
        <x:f>ROUND(SUMIFS($M$4:$M$400,$B$4:$B$400,B14,$N$4:$N$400,N14,$A$4:$A$400,"&lt;="&amp;A14),2)</x:f>
        <x:v>32</x:v>
      </x:c>
      <x:c r="P14" s="46" t="n">
        <x:f>ROUND(MAX(0,M14-Q14),2)</x:f>
        <x:v>7.95</x:v>
      </x:c>
      <x:c r="Q14" s="46" t="n">
        <x:f>ROUND(MAX(0,O14-Settings!$B$13)-MAX(0,O14-M14-Settings!$B$13),2)</x:f>
        <x:v>0</x:v>
      </x:c>
      <x:c r="R14" s="46" t="n">
        <x:f>ROUND(M14+K14-L14,2)</x:f>
        <x:v>-0.05</x:v>
      </x:c>
      <x:c r="S14" t="str">
        <x:f>IF(B14="","",IF(J14&lt;&gt;"None",J14,IF(Q14&gt;0,"Overtime",IF(G14&gt;E14,"Late",IF(H14&lt;F14,"Left Early","On Time")))))</x:f>
        <x:v>Late</x:v>
      </x:c>
      <x:c r="T14" s="36" t="str"/>
    </x:row>
    <x:row r="15">
      <x:c r="A15" s="37" t="n">
        <x:v>46277</x:v>
      </x:c>
      <x:c r="B15" s="36" t="str">
        <x:v>EMP-001</x:v>
      </x:c>
      <x:c r="C15" s="54" t="str">
        <x:f>IFERROR(VLOOKUP(B15,Employees!$A$4:$K$9,2,FALSE),"")</x:f>
        <x:v>Olivia Martin</x:v>
      </x:c>
      <x:c r="D15" s="54" t="str">
        <x:f>TEXT(A15,"dddd")</x:f>
        <x:v>Saturday</x:v>
      </x:c>
      <x:c r="E15" s="56" t="n">
        <x:f>IFERROR(VLOOKUP(D15,'Work Schedule'!$A$4:$F$10,2,FALSE),"")</x:f>
        <x:v>0.3333333333333333</x:v>
      </x:c>
      <x:c r="F15" s="56" t="n">
        <x:f>IFERROR(VLOOKUP(D15,'Work Schedule'!$A$4:$F$10,3,FALSE),"")</x:f>
        <x:v>0.5833333333333334</x:v>
      </x:c>
      <x:c r="G15" s="50" t="n">
        <x:v>0.3333333333333333</x:v>
      </x:c>
      <x:c r="H15" s="50" t="n">
        <x:v>0.5861111111111111</x:v>
      </x:c>
      <x:c r="I15" s="52" t="n">
        <x:v>1</x:v>
      </x:c>
      <x:c r="J15" s="36" t="str">
        <x:v>None</x:v>
      </x:c>
      <x:c r="K15" s="52" t="n">
        <x:v>0</x:v>
      </x:c>
      <x:c r="L15" s="58" t="n">
        <x:f>IFERROR(VLOOKUP(D15,'Work Schedule'!$A$4:$F$10,5,FALSE),0)</x:f>
        <x:v>5</x:v>
      </x:c>
      <x:c r="M15" s="46" t="n">
        <x:f>IF(OR(G15="",H15=""),0,ROUND(MAX(0,(H15-G15)*24-I15),2))</x:f>
        <x:v>5.07</x:v>
      </x:c>
      <x:c r="N15" s="60" t="n">
        <x:f>A15-WEEKDAY(A15,2)+1</x:f>
        <x:v>46272</x:v>
      </x:c>
      <x:c r="O15" s="58" t="n">
        <x:f>ROUND(SUMIFS($M$4:$M$400,$B$4:$B$400,B15,$N$4:$N$400,N15,$A$4:$A$400,"&lt;="&amp;A15),2)</x:f>
        <x:v>37.07</x:v>
      </x:c>
      <x:c r="P15" s="46" t="n">
        <x:f>ROUND(MAX(0,M15-Q15),2)</x:f>
        <x:v>5.07</x:v>
      </x:c>
      <x:c r="Q15" s="46" t="n">
        <x:f>ROUND(MAX(0,O15-Settings!$B$13)-MAX(0,O15-M15-Settings!$B$13),2)</x:f>
        <x:v>0</x:v>
      </x:c>
      <x:c r="R15" s="46" t="n">
        <x:f>ROUND(M15+K15-L15,2)</x:f>
        <x:v>0.07</x:v>
      </x:c>
      <x:c r="S15" t="str">
        <x:f>IF(B15="","",IF(J15&lt;&gt;"None",J15,IF(Q15&gt;0,"Overtime",IF(G15&gt;E15,"Late",IF(H15&lt;F15,"Left Early","On Time")))))</x:f>
        <x:v>On Time</x:v>
      </x:c>
      <x:c r="T15" s="36" t="str"/>
    </x:row>
    <x:row r="16">
      <x:c r="A16" s="37" t="n">
        <x:v>46279</x:v>
      </x:c>
      <x:c r="B16" s="36" t="str">
        <x:v>EMP-001</x:v>
      </x:c>
      <x:c r="C16" s="54" t="str">
        <x:f>IFERROR(VLOOKUP(B16,Employees!$A$4:$K$9,2,FALSE),"")</x:f>
        <x:v>Olivia Martin</x:v>
      </x:c>
      <x:c r="D16" s="54" t="str">
        <x:f>TEXT(A16,"dddd")</x:f>
        <x:v>Monday</x:v>
      </x:c>
      <x:c r="E16" s="56" t="n">
        <x:f>IFERROR(VLOOKUP(D16,'Work Schedule'!$A$4:$F$10,2,FALSE),"")</x:f>
        <x:v>0.3333333333333333</x:v>
      </x:c>
      <x:c r="F16" s="56" t="n">
        <x:f>IFERROR(VLOOKUP(D16,'Work Schedule'!$A$4:$F$10,3,FALSE),"")</x:f>
        <x:v>0.7083333333333334</x:v>
      </x:c>
      <x:c r="G16" s="50" t="n">
        <x:v>0.33055555555555555</x:v>
      </x:c>
      <x:c r="H16" s="50" t="n">
        <x:v>0.7104166666666667</x:v>
      </x:c>
      <x:c r="I16" s="52" t="n">
        <x:v>1</x:v>
      </x:c>
      <x:c r="J16" s="36" t="str">
        <x:v>None</x:v>
      </x:c>
      <x:c r="K16" s="52" t="n">
        <x:v>0</x:v>
      </x:c>
      <x:c r="L16" s="58" t="n">
        <x:f>IFERROR(VLOOKUP(D16,'Work Schedule'!$A$4:$F$10,5,FALSE),0)</x:f>
        <x:v>8</x:v>
      </x:c>
      <x:c r="M16" s="46" t="n">
        <x:f>IF(OR(G16="",H16=""),0,ROUND(MAX(0,(H16-G16)*24-I16),2))</x:f>
        <x:v>8.12</x:v>
      </x:c>
      <x:c r="N16" s="60" t="n">
        <x:f>A16-WEEKDAY(A16,2)+1</x:f>
        <x:v>46279</x:v>
      </x:c>
      <x:c r="O16" s="58" t="n">
        <x:f>ROUND(SUMIFS($M$4:$M$400,$B$4:$B$400,B16,$N$4:$N$400,N16,$A$4:$A$400,"&lt;="&amp;A16),2)</x:f>
        <x:v>8.12</x:v>
      </x:c>
      <x:c r="P16" s="46" t="n">
        <x:f>ROUND(MAX(0,M16-Q16),2)</x:f>
        <x:v>8.12</x:v>
      </x:c>
      <x:c r="Q16" s="46" t="n">
        <x:f>ROUND(MAX(0,O16-Settings!$B$13)-MAX(0,O16-M16-Settings!$B$13),2)</x:f>
        <x:v>0</x:v>
      </x:c>
      <x:c r="R16" s="46" t="n">
        <x:f>ROUND(M16+K16-L16,2)</x:f>
        <x:v>0.12</x:v>
      </x:c>
      <x:c r="S16" t="str">
        <x:f>IF(B16="","",IF(J16&lt;&gt;"None",J16,IF(Q16&gt;0,"Overtime",IF(G16&gt;E16,"Late",IF(H16&lt;F16,"Left Early","On Time")))))</x:f>
        <x:v>On Time</x:v>
      </x:c>
      <x:c r="T16" s="36" t="str"/>
    </x:row>
    <x:row r="17">
      <x:c r="A17" s="37" t="n">
        <x:v>46280</x:v>
      </x:c>
      <x:c r="B17" s="36" t="str">
        <x:v>EMP-001</x:v>
      </x:c>
      <x:c r="C17" s="54" t="str">
        <x:f>IFERROR(VLOOKUP(B17,Employees!$A$4:$K$9,2,FALSE),"")</x:f>
        <x:v>Olivia Martin</x:v>
      </x:c>
      <x:c r="D17" s="54" t="str">
        <x:f>TEXT(A17,"dddd")</x:f>
        <x:v>Tuesday</x:v>
      </x:c>
      <x:c r="E17" s="56" t="n">
        <x:f>IFERROR(VLOOKUP(D17,'Work Schedule'!$A$4:$F$10,2,FALSE),"")</x:f>
        <x:v>0.3333333333333333</x:v>
      </x:c>
      <x:c r="F17" s="56" t="n">
        <x:f>IFERROR(VLOOKUP(D17,'Work Schedule'!$A$4:$F$10,3,FALSE),"")</x:f>
        <x:v>0.7083333333333334</x:v>
      </x:c>
      <x:c r="G17" s="50" t="n">
        <x:v>0.33402777777777776</x:v>
      </x:c>
      <x:c r="H17" s="50" t="n">
        <x:v>0.7076388888888889</x:v>
      </x:c>
      <x:c r="I17" s="52" t="n">
        <x:v>1</x:v>
      </x:c>
      <x:c r="J17" s="36" t="str">
        <x:v>None</x:v>
      </x:c>
      <x:c r="K17" s="52" t="n">
        <x:v>0</x:v>
      </x:c>
      <x:c r="L17" s="58" t="n">
        <x:f>IFERROR(VLOOKUP(D17,'Work Schedule'!$A$4:$F$10,5,FALSE),0)</x:f>
        <x:v>8</x:v>
      </x:c>
      <x:c r="M17" s="46" t="n">
        <x:f>IF(OR(G17="",H17=""),0,ROUND(MAX(0,(H17-G17)*24-I17),2))</x:f>
        <x:v>7.97</x:v>
      </x:c>
      <x:c r="N17" s="60" t="n">
        <x:f>A17-WEEKDAY(A17,2)+1</x:f>
        <x:v>46279</x:v>
      </x:c>
      <x:c r="O17" s="58" t="n">
        <x:f>ROUND(SUMIFS($M$4:$M$400,$B$4:$B$400,B17,$N$4:$N$400,N17,$A$4:$A$400,"&lt;="&amp;A17),2)</x:f>
        <x:v>16.09</x:v>
      </x:c>
      <x:c r="P17" s="46" t="n">
        <x:f>ROUND(MAX(0,M17-Q17),2)</x:f>
        <x:v>7.97</x:v>
      </x:c>
      <x:c r="Q17" s="46" t="n">
        <x:f>ROUND(MAX(0,O17-Settings!$B$13)-MAX(0,O17-M17-Settings!$B$13),2)</x:f>
        <x:v>0</x:v>
      </x:c>
      <x:c r="R17" s="46" t="n">
        <x:f>ROUND(M17+K17-L17,2)</x:f>
        <x:v>-0.03</x:v>
      </x:c>
      <x:c r="S17" t="str">
        <x:f>IF(B17="","",IF(J17&lt;&gt;"None",J17,IF(Q17&gt;0,"Overtime",IF(G17&gt;E17,"Late",IF(H17&lt;F17,"Left Early","On Time")))))</x:f>
        <x:v>Late</x:v>
      </x:c>
      <x:c r="T17" s="36" t="str"/>
    </x:row>
    <x:row r="18">
      <x:c r="A18" s="37" t="n">
        <x:v>46281</x:v>
      </x:c>
      <x:c r="B18" s="36" t="str">
        <x:v>EMP-001</x:v>
      </x:c>
      <x:c r="C18" s="54" t="str">
        <x:f>IFERROR(VLOOKUP(B18,Employees!$A$4:$K$9,2,FALSE),"")</x:f>
        <x:v>Olivia Martin</x:v>
      </x:c>
      <x:c r="D18" s="54" t="str">
        <x:f>TEXT(A18,"dddd")</x:f>
        <x:v>Wednesday</x:v>
      </x:c>
      <x:c r="E18" s="56" t="n">
        <x:f>IFERROR(VLOOKUP(D18,'Work Schedule'!$A$4:$F$10,2,FALSE),"")</x:f>
        <x:v>0.3333333333333333</x:v>
      </x:c>
      <x:c r="F18" s="56" t="n">
        <x:f>IFERROR(VLOOKUP(D18,'Work Schedule'!$A$4:$F$10,3,FALSE),"")</x:f>
        <x:v>0.7083333333333334</x:v>
      </x:c>
      <x:c r="G18" s="50" t="n">
        <x:v>0.3333333333333333</x:v>
      </x:c>
      <x:c r="H18" s="50" t="n">
        <x:v>0.5</x:v>
      </x:c>
      <x:c r="I18" s="52" t="n">
        <x:v>0</x:v>
      </x:c>
      <x:c r="J18" s="36" t="str">
        <x:v>Paid Leave</x:v>
      </x:c>
      <x:c r="K18" s="52" t="n">
        <x:v>4</x:v>
      </x:c>
      <x:c r="L18" s="58" t="n">
        <x:f>IFERROR(VLOOKUP(D18,'Work Schedule'!$A$4:$F$10,5,FALSE),0)</x:f>
        <x:v>8</x:v>
      </x:c>
      <x:c r="M18" s="46" t="n">
        <x:f>IF(OR(G18="",H18=""),0,ROUND(MAX(0,(H18-G18)*24-I18),2))</x:f>
        <x:v>4</x:v>
      </x:c>
      <x:c r="N18" s="60" t="n">
        <x:f>A18-WEEKDAY(A18,2)+1</x:f>
        <x:v>46279</x:v>
      </x:c>
      <x:c r="O18" s="58" t="n">
        <x:f>ROUND(SUMIFS($M$4:$M$400,$B$4:$B$400,B18,$N$4:$N$400,N18,$A$4:$A$400,"&lt;="&amp;A18),2)</x:f>
        <x:v>20.09</x:v>
      </x:c>
      <x:c r="P18" s="46" t="n">
        <x:f>ROUND(MAX(0,M18-Q18),2)</x:f>
        <x:v>4</x:v>
      </x:c>
      <x:c r="Q18" s="46" t="n">
        <x:f>ROUND(MAX(0,O18-Settings!$B$13)-MAX(0,O18-M18-Settings!$B$13),2)</x:f>
        <x:v>0</x:v>
      </x:c>
      <x:c r="R18" s="46" t="n">
        <x:f>ROUND(M18+K18-L18,2)</x:f>
        <x:v>0</x:v>
      </x:c>
      <x:c r="S18" t="str">
        <x:f>IF(B18="","",IF(J18&lt;&gt;"None",J18,IF(Q18&gt;0,"Overtime",IF(G18&gt;E18,"Late",IF(H18&lt;F18,"Left Early","On Time")))))</x:f>
        <x:v>Paid Leave</x:v>
      </x:c>
      <x:c r="T18" s="36" t="str">
        <x:v>Approved half-day paid leave (afternoon).</x:v>
      </x:c>
    </x:row>
    <x:row r="19">
      <x:c r="A19" s="37" t="n">
        <x:v>46282</x:v>
      </x:c>
      <x:c r="B19" s="36" t="str">
        <x:v>EMP-001</x:v>
      </x:c>
      <x:c r="C19" s="54" t="str">
        <x:f>IFERROR(VLOOKUP(B19,Employees!$A$4:$K$9,2,FALSE),"")</x:f>
        <x:v>Olivia Martin</x:v>
      </x:c>
      <x:c r="D19" s="54" t="str">
        <x:f>TEXT(A19,"dddd")</x:f>
        <x:v>Thursday</x:v>
      </x:c>
      <x:c r="E19" s="56" t="n">
        <x:f>IFERROR(VLOOKUP(D19,'Work Schedule'!$A$4:$F$10,2,FALSE),"")</x:f>
        <x:v>0.3333333333333333</x:v>
      </x:c>
      <x:c r="F19" s="56" t="n">
        <x:f>IFERROR(VLOOKUP(D19,'Work Schedule'!$A$4:$F$10,3,FALSE),"")</x:f>
        <x:v>0.7083333333333334</x:v>
      </x:c>
      <x:c r="G19" s="50" t="n">
        <x:v>0.33125</x:v>
      </x:c>
      <x:c r="H19" s="50" t="n">
        <x:v>0.7083333333333334</x:v>
      </x:c>
      <x:c r="I19" s="52" t="n">
        <x:v>1</x:v>
      </x:c>
      <x:c r="J19" s="36" t="str">
        <x:v>None</x:v>
      </x:c>
      <x:c r="K19" s="52" t="n">
        <x:v>0</x:v>
      </x:c>
      <x:c r="L19" s="58" t="n">
        <x:f>IFERROR(VLOOKUP(D19,'Work Schedule'!$A$4:$F$10,5,FALSE),0)</x:f>
        <x:v>8</x:v>
      </x:c>
      <x:c r="M19" s="46" t="n">
        <x:f>IF(OR(G19="",H19=""),0,ROUND(MAX(0,(H19-G19)*24-I19),2))</x:f>
        <x:v>8.05</x:v>
      </x:c>
      <x:c r="N19" s="60" t="n">
        <x:f>A19-WEEKDAY(A19,2)+1</x:f>
        <x:v>46279</x:v>
      </x:c>
      <x:c r="O19" s="58" t="n">
        <x:f>ROUND(SUMIFS($M$4:$M$400,$B$4:$B$400,B19,$N$4:$N$400,N19,$A$4:$A$400,"&lt;="&amp;A19),2)</x:f>
        <x:v>28.14</x:v>
      </x:c>
      <x:c r="P19" s="46" t="n">
        <x:f>ROUND(MAX(0,M19-Q19),2)</x:f>
        <x:v>8.05</x:v>
      </x:c>
      <x:c r="Q19" s="46" t="n">
        <x:f>ROUND(MAX(0,O19-Settings!$B$13)-MAX(0,O19-M19-Settings!$B$13),2)</x:f>
        <x:v>0</x:v>
      </x:c>
      <x:c r="R19" s="46" t="n">
        <x:f>ROUND(M19+K19-L19,2)</x:f>
        <x:v>0.05</x:v>
      </x:c>
      <x:c r="S19" t="str">
        <x:f>IF(B19="","",IF(J19&lt;&gt;"None",J19,IF(Q19&gt;0,"Overtime",IF(G19&gt;E19,"Late",IF(H19&lt;F19,"Left Early","On Time")))))</x:f>
        <x:v>On Time</x:v>
      </x:c>
      <x:c r="T19" s="36" t="str"/>
    </x:row>
    <x:row r="20">
      <x:c r="A20" s="37" t="n">
        <x:v>46283</x:v>
      </x:c>
      <x:c r="B20" s="36" t="str">
        <x:v>EMP-001</x:v>
      </x:c>
      <x:c r="C20" s="54" t="str">
        <x:f>IFERROR(VLOOKUP(B20,Employees!$A$4:$K$9,2,FALSE),"")</x:f>
        <x:v>Olivia Martin</x:v>
      </x:c>
      <x:c r="D20" s="54" t="str">
        <x:f>TEXT(A20,"dddd")</x:f>
        <x:v>Friday</x:v>
      </x:c>
      <x:c r="E20" s="56" t="n">
        <x:f>IFERROR(VLOOKUP(D20,'Work Schedule'!$A$4:$F$10,2,FALSE),"")</x:f>
        <x:v>0.3333333333333333</x:v>
      </x:c>
      <x:c r="F20" s="56" t="n">
        <x:f>IFERROR(VLOOKUP(D20,'Work Schedule'!$A$4:$F$10,3,FALSE),"")</x:f>
        <x:v>0.7083333333333334</x:v>
      </x:c>
      <x:c r="G20" s="50" t="n">
        <x:v>0.3326388888888889</x:v>
      </x:c>
      <x:c r="H20" s="50" t="n">
        <x:v>0.7083333333333334</x:v>
      </x:c>
      <x:c r="I20" s="52" t="n">
        <x:v>1</x:v>
      </x:c>
      <x:c r="J20" s="36" t="str">
        <x:v>None</x:v>
      </x:c>
      <x:c r="K20" s="52" t="n">
        <x:v>0</x:v>
      </x:c>
      <x:c r="L20" s="58" t="n">
        <x:f>IFERROR(VLOOKUP(D20,'Work Schedule'!$A$4:$F$10,5,FALSE),0)</x:f>
        <x:v>8</x:v>
      </x:c>
      <x:c r="M20" s="46" t="n">
        <x:f>IF(OR(G20="",H20=""),0,ROUND(MAX(0,(H20-G20)*24-I20),2))</x:f>
        <x:v>8.02</x:v>
      </x:c>
      <x:c r="N20" s="60" t="n">
        <x:f>A20-WEEKDAY(A20,2)+1</x:f>
        <x:v>46279</x:v>
      </x:c>
      <x:c r="O20" s="58" t="n">
        <x:f>ROUND(SUMIFS($M$4:$M$400,$B$4:$B$400,B20,$N$4:$N$400,N20,$A$4:$A$400,"&lt;="&amp;A20),2)</x:f>
        <x:v>36.16</x:v>
      </x:c>
      <x:c r="P20" s="46" t="n">
        <x:f>ROUND(MAX(0,M20-Q20),2)</x:f>
        <x:v>8.02</x:v>
      </x:c>
      <x:c r="Q20" s="46" t="n">
        <x:f>ROUND(MAX(0,O20-Settings!$B$13)-MAX(0,O20-M20-Settings!$B$13),2)</x:f>
        <x:v>0</x:v>
      </x:c>
      <x:c r="R20" s="46" t="n">
        <x:f>ROUND(M20+K20-L20,2)</x:f>
        <x:v>0.02</x:v>
      </x:c>
      <x:c r="S20" t="str">
        <x:f>IF(B20="","",IF(J20&lt;&gt;"None",J20,IF(Q20&gt;0,"Overtime",IF(G20&gt;E20,"Late",IF(H20&lt;F20,"Left Early","On Time")))))</x:f>
        <x:v>On Time</x:v>
      </x:c>
      <x:c r="T20" s="36" t="str"/>
    </x:row>
    <x:row r="21">
      <x:c r="A21" s="37" t="n">
        <x:v>46284</x:v>
      </x:c>
      <x:c r="B21" s="36" t="str">
        <x:v>EMP-001</x:v>
      </x:c>
      <x:c r="C21" s="54" t="str">
        <x:f>IFERROR(VLOOKUP(B21,Employees!$A$4:$K$9,2,FALSE),"")</x:f>
        <x:v>Olivia Martin</x:v>
      </x:c>
      <x:c r="D21" s="54" t="str">
        <x:f>TEXT(A21,"dddd")</x:f>
        <x:v>Saturday</x:v>
      </x:c>
      <x:c r="E21" s="56" t="n">
        <x:f>IFERROR(VLOOKUP(D21,'Work Schedule'!$A$4:$F$10,2,FALSE),"")</x:f>
        <x:v>0.3333333333333333</x:v>
      </x:c>
      <x:c r="F21" s="56" t="n">
        <x:f>IFERROR(VLOOKUP(D21,'Work Schedule'!$A$4:$F$10,3,FALSE),"")</x:f>
        <x:v>0.5833333333333334</x:v>
      </x:c>
      <x:c r="G21" s="50" t="n">
        <x:v>0.33125</x:v>
      </x:c>
      <x:c r="H21" s="50" t="n">
        <x:v>0.5833333333333334</x:v>
      </x:c>
      <x:c r="I21" s="52" t="n">
        <x:v>1</x:v>
      </x:c>
      <x:c r="J21" s="36" t="str">
        <x:v>None</x:v>
      </x:c>
      <x:c r="K21" s="52" t="n">
        <x:v>0</x:v>
      </x:c>
      <x:c r="L21" s="58" t="n">
        <x:f>IFERROR(VLOOKUP(D21,'Work Schedule'!$A$4:$F$10,5,FALSE),0)</x:f>
        <x:v>5</x:v>
      </x:c>
      <x:c r="M21" s="46" t="n">
        <x:f>IF(OR(G21="",H21=""),0,ROUND(MAX(0,(H21-G21)*24-I21),2))</x:f>
        <x:v>5.05</x:v>
      </x:c>
      <x:c r="N21" s="60" t="n">
        <x:f>A21-WEEKDAY(A21,2)+1</x:f>
        <x:v>46279</x:v>
      </x:c>
      <x:c r="O21" s="58" t="n">
        <x:f>ROUND(SUMIFS($M$4:$M$400,$B$4:$B$400,B21,$N$4:$N$400,N21,$A$4:$A$400,"&lt;="&amp;A21),2)</x:f>
        <x:v>41.21</x:v>
      </x:c>
      <x:c r="P21" s="46" t="n">
        <x:f>ROUND(MAX(0,M21-Q21),2)</x:f>
        <x:v>5.05</x:v>
      </x:c>
      <x:c r="Q21" s="46" t="n">
        <x:f>ROUND(MAX(0,O21-Settings!$B$13)-MAX(0,O21-M21-Settings!$B$13),2)</x:f>
        <x:v>0</x:v>
      </x:c>
      <x:c r="R21" s="46" t="n">
        <x:f>ROUND(M21+K21-L21,2)</x:f>
        <x:v>0.05</x:v>
      </x:c>
      <x:c r="S21" t="str">
        <x:f>IF(B21="","",IF(J21&lt;&gt;"None",J21,IF(Q21&gt;0,"Overtime",IF(G21&gt;E21,"Late",IF(H21&lt;F21,"Left Early","On Time")))))</x:f>
        <x:v>On Time</x:v>
      </x:c>
      <x:c r="T21" s="36" t="str"/>
    </x:row>
    <x:row r="22">
      <x:c r="A22" s="37" t="n">
        <x:v>46286</x:v>
      </x:c>
      <x:c r="B22" s="36" t="str">
        <x:v>EMP-001</x:v>
      </x:c>
      <x:c r="C22" s="54" t="str">
        <x:f>IFERROR(VLOOKUP(B22,Employees!$A$4:$K$9,2,FALSE),"")</x:f>
        <x:v>Olivia Martin</x:v>
      </x:c>
      <x:c r="D22" s="54" t="str">
        <x:f>TEXT(A22,"dddd")</x:f>
        <x:v>Monday</x:v>
      </x:c>
      <x:c r="E22" s="56" t="n">
        <x:f>IFERROR(VLOOKUP(D22,'Work Schedule'!$A$4:$F$10,2,FALSE),"")</x:f>
        <x:v>0.3333333333333333</x:v>
      </x:c>
      <x:c r="F22" s="56" t="n">
        <x:f>IFERROR(VLOOKUP(D22,'Work Schedule'!$A$4:$F$10,3,FALSE),"")</x:f>
        <x:v>0.7083333333333334</x:v>
      </x:c>
      <x:c r="G22" s="50" t="n">
        <x:v>0.3326388888888889</x:v>
      </x:c>
      <x:c r="H22" s="50" t="n">
        <x:v>0.7090277777777778</x:v>
      </x:c>
      <x:c r="I22" s="52" t="n">
        <x:v>1</x:v>
      </x:c>
      <x:c r="J22" s="36" t="str">
        <x:v>None</x:v>
      </x:c>
      <x:c r="K22" s="52" t="n">
        <x:v>0</x:v>
      </x:c>
      <x:c r="L22" s="58" t="n">
        <x:f>IFERROR(VLOOKUP(D22,'Work Schedule'!$A$4:$F$10,5,FALSE),0)</x:f>
        <x:v>8</x:v>
      </x:c>
      <x:c r="M22" s="46" t="n">
        <x:f>IF(OR(G22="",H22=""),0,ROUND(MAX(0,(H22-G22)*24-I22),2))</x:f>
        <x:v>8.03</x:v>
      </x:c>
      <x:c r="N22" s="60" t="n">
        <x:f>A22-WEEKDAY(A22,2)+1</x:f>
        <x:v>46286</x:v>
      </x:c>
      <x:c r="O22" s="58" t="n">
        <x:f>ROUND(SUMIFS($M$4:$M$400,$B$4:$B$400,B22,$N$4:$N$400,N22,$A$4:$A$400,"&lt;="&amp;A22),2)</x:f>
        <x:v>8.03</x:v>
      </x:c>
      <x:c r="P22" s="46" t="n">
        <x:f>ROUND(MAX(0,M22-Q22),2)</x:f>
        <x:v>8.03</x:v>
      </x:c>
      <x:c r="Q22" s="46" t="n">
        <x:f>ROUND(MAX(0,O22-Settings!$B$13)-MAX(0,O22-M22-Settings!$B$13),2)</x:f>
        <x:v>0</x:v>
      </x:c>
      <x:c r="R22" s="46" t="n">
        <x:f>ROUND(M22+K22-L22,2)</x:f>
        <x:v>0.03</x:v>
      </x:c>
      <x:c r="S22" t="str">
        <x:f>IF(B22="","",IF(J22&lt;&gt;"None",J22,IF(Q22&gt;0,"Overtime",IF(G22&gt;E22,"Late",IF(H22&lt;F22,"Left Early","On Time")))))</x:f>
        <x:v>On Time</x:v>
      </x:c>
      <x:c r="T22" s="36" t="str"/>
    </x:row>
    <x:row r="23">
      <x:c r="A23" s="37" t="n">
        <x:v>46287</x:v>
      </x:c>
      <x:c r="B23" s="36" t="str">
        <x:v>EMP-001</x:v>
      </x:c>
      <x:c r="C23" s="54" t="str">
        <x:f>IFERROR(VLOOKUP(B23,Employees!$A$4:$K$9,2,FALSE),"")</x:f>
        <x:v>Olivia Martin</x:v>
      </x:c>
      <x:c r="D23" s="54" t="str">
        <x:f>TEXT(A23,"dddd")</x:f>
        <x:v>Tuesday</x:v>
      </x:c>
      <x:c r="E23" s="56" t="n">
        <x:f>IFERROR(VLOOKUP(D23,'Work Schedule'!$A$4:$F$10,2,FALSE),"")</x:f>
        <x:v>0.3333333333333333</x:v>
      </x:c>
      <x:c r="F23" s="56" t="n">
        <x:f>IFERROR(VLOOKUP(D23,'Work Schedule'!$A$4:$F$10,3,FALSE),"")</x:f>
        <x:v>0.7083333333333334</x:v>
      </x:c>
      <x:c r="G23" s="50" t="n">
        <x:v>0.33194444444444443</x:v>
      </x:c>
      <x:c r="H23" s="50" t="n">
        <x:v>0.7291666666666666</x:v>
      </x:c>
      <x:c r="I23" s="52" t="n">
        <x:v>1</x:v>
      </x:c>
      <x:c r="J23" s="36" t="str">
        <x:v>None</x:v>
      </x:c>
      <x:c r="K23" s="52" t="n">
        <x:v>0</x:v>
      </x:c>
      <x:c r="L23" s="58" t="n">
        <x:f>IFERROR(VLOOKUP(D23,'Work Schedule'!$A$4:$F$10,5,FALSE),0)</x:f>
        <x:v>8</x:v>
      </x:c>
      <x:c r="M23" s="46" t="n">
        <x:f>IF(OR(G23="",H23=""),0,ROUND(MAX(0,(H23-G23)*24-I23),2))</x:f>
        <x:v>8.53</x:v>
      </x:c>
      <x:c r="N23" s="60" t="n">
        <x:f>A23-WEEKDAY(A23,2)+1</x:f>
        <x:v>46286</x:v>
      </x:c>
      <x:c r="O23" s="58" t="n">
        <x:f>ROUND(SUMIFS($M$4:$M$400,$B$4:$B$400,B23,$N$4:$N$400,N23,$A$4:$A$400,"&lt;="&amp;A23),2)</x:f>
        <x:v>16.56</x:v>
      </x:c>
      <x:c r="P23" s="46" t="n">
        <x:f>ROUND(MAX(0,M23-Q23),2)</x:f>
        <x:v>8.53</x:v>
      </x:c>
      <x:c r="Q23" s="46" t="n">
        <x:f>ROUND(MAX(0,O23-Settings!$B$13)-MAX(0,O23-M23-Settings!$B$13),2)</x:f>
        <x:v>0</x:v>
      </x:c>
      <x:c r="R23" s="46" t="n">
        <x:f>ROUND(M23+K23-L23,2)</x:f>
        <x:v>0.53</x:v>
      </x:c>
      <x:c r="S23" t="str">
        <x:f>IF(B23="","",IF(J23&lt;&gt;"None",J23,IF(Q23&gt;0,"Overtime",IF(G23&gt;E23,"Late",IF(H23&lt;F23,"Left Early","On Time")))))</x:f>
        <x:v>On Time</x:v>
      </x:c>
      <x:c r="T23" s="36" t="str">
        <x:v>Stayed 30 minutes for month-end operational handover.</x:v>
      </x:c>
    </x:row>
    <x:row r="24">
      <x:c r="A24" s="37" t="n">
        <x:v>46288</x:v>
      </x:c>
      <x:c r="B24" s="36" t="str">
        <x:v>EMP-001</x:v>
      </x:c>
      <x:c r="C24" s="54" t="str">
        <x:f>IFERROR(VLOOKUP(B24,Employees!$A$4:$K$9,2,FALSE),"")</x:f>
        <x:v>Olivia Martin</x:v>
      </x:c>
      <x:c r="D24" s="54" t="str">
        <x:f>TEXT(A24,"dddd")</x:f>
        <x:v>Wednesday</x:v>
      </x:c>
      <x:c r="E24" s="56" t="n">
        <x:f>IFERROR(VLOOKUP(D24,'Work Schedule'!$A$4:$F$10,2,FALSE),"")</x:f>
        <x:v>0.3333333333333333</x:v>
      </x:c>
      <x:c r="F24" s="56" t="n">
        <x:f>IFERROR(VLOOKUP(D24,'Work Schedule'!$A$4:$F$10,3,FALSE),"")</x:f>
        <x:v>0.7083333333333334</x:v>
      </x:c>
      <x:c r="G24" s="50" t="n">
        <x:v>0.33194444444444443</x:v>
      </x:c>
      <x:c r="H24" s="50" t="n">
        <x:v>0.7076388888888889</x:v>
      </x:c>
      <x:c r="I24" s="52" t="n">
        <x:v>1</x:v>
      </x:c>
      <x:c r="J24" s="36" t="str">
        <x:v>None</x:v>
      </x:c>
      <x:c r="K24" s="52" t="n">
        <x:v>0</x:v>
      </x:c>
      <x:c r="L24" s="58" t="n">
        <x:f>IFERROR(VLOOKUP(D24,'Work Schedule'!$A$4:$F$10,5,FALSE),0)</x:f>
        <x:v>8</x:v>
      </x:c>
      <x:c r="M24" s="46" t="n">
        <x:f>IF(OR(G24="",H24=""),0,ROUND(MAX(0,(H24-G24)*24-I24),2))</x:f>
        <x:v>8.02</x:v>
      </x:c>
      <x:c r="N24" s="60" t="n">
        <x:f>A24-WEEKDAY(A24,2)+1</x:f>
        <x:v>46286</x:v>
      </x:c>
      <x:c r="O24" s="58" t="n">
        <x:f>ROUND(SUMIFS($M$4:$M$400,$B$4:$B$400,B24,$N$4:$N$400,N24,$A$4:$A$400,"&lt;="&amp;A24),2)</x:f>
        <x:v>24.58</x:v>
      </x:c>
      <x:c r="P24" s="46" t="n">
        <x:f>ROUND(MAX(0,M24-Q24),2)</x:f>
        <x:v>8.02</x:v>
      </x:c>
      <x:c r="Q24" s="46" t="n">
        <x:f>ROUND(MAX(0,O24-Settings!$B$13)-MAX(0,O24-M24-Settings!$B$13),2)</x:f>
        <x:v>0</x:v>
      </x:c>
      <x:c r="R24" s="46" t="n">
        <x:f>ROUND(M24+K24-L24,2)</x:f>
        <x:v>0.02</x:v>
      </x:c>
      <x:c r="S24" t="str">
        <x:f>IF(B24="","",IF(J24&lt;&gt;"None",J24,IF(Q24&gt;0,"Overtime",IF(G24&gt;E24,"Late",IF(H24&lt;F24,"Left Early","On Time")))))</x:f>
        <x:v>Left Early</x:v>
      </x:c>
      <x:c r="T24" s="36" t="str"/>
    </x:row>
    <x:row r="25">
      <x:c r="A25" s="37" t="n">
        <x:v>46289</x:v>
      </x:c>
      <x:c r="B25" s="36" t="str">
        <x:v>EMP-001</x:v>
      </x:c>
      <x:c r="C25" s="54" t="str">
        <x:f>IFERROR(VLOOKUP(B25,Employees!$A$4:$K$9,2,FALSE),"")</x:f>
        <x:v>Olivia Martin</x:v>
      </x:c>
      <x:c r="D25" s="54" t="str">
        <x:f>TEXT(A25,"dddd")</x:f>
        <x:v>Thursday</x:v>
      </x:c>
      <x:c r="E25" s="56" t="n">
        <x:f>IFERROR(VLOOKUP(D25,'Work Schedule'!$A$4:$F$10,2,FALSE),"")</x:f>
        <x:v>0.3333333333333333</x:v>
      </x:c>
      <x:c r="F25" s="56" t="n">
        <x:f>IFERROR(VLOOKUP(D25,'Work Schedule'!$A$4:$F$10,3,FALSE),"")</x:f>
        <x:v>0.7083333333333334</x:v>
      </x:c>
      <x:c r="G25" s="50" t="n">
        <x:v>0.33194444444444443</x:v>
      </x:c>
      <x:c r="H25" s="50" t="n">
        <x:v>0.7083333333333334</x:v>
      </x:c>
      <x:c r="I25" s="52" t="n">
        <x:v>1</x:v>
      </x:c>
      <x:c r="J25" s="36" t="str">
        <x:v>None</x:v>
      </x:c>
      <x:c r="K25" s="52" t="n">
        <x:v>0</x:v>
      </x:c>
      <x:c r="L25" s="58" t="n">
        <x:f>IFERROR(VLOOKUP(D25,'Work Schedule'!$A$4:$F$10,5,FALSE),0)</x:f>
        <x:v>8</x:v>
      </x:c>
      <x:c r="M25" s="46" t="n">
        <x:f>IF(OR(G25="",H25=""),0,ROUND(MAX(0,(H25-G25)*24-I25),2))</x:f>
        <x:v>8.03</x:v>
      </x:c>
      <x:c r="N25" s="60" t="n">
        <x:f>A25-WEEKDAY(A25,2)+1</x:f>
        <x:v>46286</x:v>
      </x:c>
      <x:c r="O25" s="58" t="n">
        <x:f>ROUND(SUMIFS($M$4:$M$400,$B$4:$B$400,B25,$N$4:$N$400,N25,$A$4:$A$400,"&lt;="&amp;A25),2)</x:f>
        <x:v>32.61</x:v>
      </x:c>
      <x:c r="P25" s="46" t="n">
        <x:f>ROUND(MAX(0,M25-Q25),2)</x:f>
        <x:v>8.03</x:v>
      </x:c>
      <x:c r="Q25" s="46" t="n">
        <x:f>ROUND(MAX(0,O25-Settings!$B$13)-MAX(0,O25-M25-Settings!$B$13),2)</x:f>
        <x:v>0</x:v>
      </x:c>
      <x:c r="R25" s="46" t="n">
        <x:f>ROUND(M25+K25-L25,2)</x:f>
        <x:v>0.03</x:v>
      </x:c>
      <x:c r="S25" t="str">
        <x:f>IF(B25="","",IF(J25&lt;&gt;"None",J25,IF(Q25&gt;0,"Overtime",IF(G25&gt;E25,"Late",IF(H25&lt;F25,"Left Early","On Time")))))</x:f>
        <x:v>On Time</x:v>
      </x:c>
      <x:c r="T25" s="36" t="str"/>
    </x:row>
    <x:row r="26">
      <x:c r="A26" s="37" t="n">
        <x:v>46290</x:v>
      </x:c>
      <x:c r="B26" s="36" t="str">
        <x:v>EMP-001</x:v>
      </x:c>
      <x:c r="C26" s="54" t="str">
        <x:f>IFERROR(VLOOKUP(B26,Employees!$A$4:$K$9,2,FALSE),"")</x:f>
        <x:v>Olivia Martin</x:v>
      </x:c>
      <x:c r="D26" s="54" t="str">
        <x:f>TEXT(A26,"dddd")</x:f>
        <x:v>Friday</x:v>
      </x:c>
      <x:c r="E26" s="56" t="n">
        <x:f>IFERROR(VLOOKUP(D26,'Work Schedule'!$A$4:$F$10,2,FALSE),"")</x:f>
        <x:v>0.3333333333333333</x:v>
      </x:c>
      <x:c r="F26" s="56" t="n">
        <x:f>IFERROR(VLOOKUP(D26,'Work Schedule'!$A$4:$F$10,3,FALSE),"")</x:f>
        <x:v>0.7083333333333334</x:v>
      </x:c>
      <x:c r="G26" s="50" t="n">
        <x:v>0.33402777777777776</x:v>
      </x:c>
      <x:c r="H26" s="50" t="n">
        <x:v>0.7104166666666667</x:v>
      </x:c>
      <x:c r="I26" s="52" t="n">
        <x:v>1</x:v>
      </x:c>
      <x:c r="J26" s="36" t="str">
        <x:v>None</x:v>
      </x:c>
      <x:c r="K26" s="52" t="n">
        <x:v>0</x:v>
      </x:c>
      <x:c r="L26" s="58" t="n">
        <x:f>IFERROR(VLOOKUP(D26,'Work Schedule'!$A$4:$F$10,5,FALSE),0)</x:f>
        <x:v>8</x:v>
      </x:c>
      <x:c r="M26" s="46" t="n">
        <x:f>IF(OR(G26="",H26=""),0,ROUND(MAX(0,(H26-G26)*24-I26),2))</x:f>
        <x:v>8.03</x:v>
      </x:c>
      <x:c r="N26" s="60" t="n">
        <x:f>A26-WEEKDAY(A26,2)+1</x:f>
        <x:v>46286</x:v>
      </x:c>
      <x:c r="O26" s="58" t="n">
        <x:f>ROUND(SUMIFS($M$4:$M$400,$B$4:$B$400,B26,$N$4:$N$400,N26,$A$4:$A$400,"&lt;="&amp;A26),2)</x:f>
        <x:v>40.64</x:v>
      </x:c>
      <x:c r="P26" s="46" t="n">
        <x:f>ROUND(MAX(0,M26-Q26),2)</x:f>
        <x:v>8.03</x:v>
      </x:c>
      <x:c r="Q26" s="46" t="n">
        <x:f>ROUND(MAX(0,O26-Settings!$B$13)-MAX(0,O26-M26-Settings!$B$13),2)</x:f>
        <x:v>0</x:v>
      </x:c>
      <x:c r="R26" s="46" t="n">
        <x:f>ROUND(M26+K26-L26,2)</x:f>
        <x:v>0.03</x:v>
      </x:c>
      <x:c r="S26" t="str">
        <x:f>IF(B26="","",IF(J26&lt;&gt;"None",J26,IF(Q26&gt;0,"Overtime",IF(G26&gt;E26,"Late",IF(H26&lt;F26,"Left Early","On Time")))))</x:f>
        <x:v>Late</x:v>
      </x:c>
      <x:c r="T26" s="36" t="str"/>
    </x:row>
    <x:row r="27">
      <x:c r="A27" s="37" t="n">
        <x:v>46291</x:v>
      </x:c>
      <x:c r="B27" s="36" t="str">
        <x:v>EMP-001</x:v>
      </x:c>
      <x:c r="C27" s="54" t="str">
        <x:f>IFERROR(VLOOKUP(B27,Employees!$A$4:$K$9,2,FALSE),"")</x:f>
        <x:v>Olivia Martin</x:v>
      </x:c>
      <x:c r="D27" s="54" t="str">
        <x:f>TEXT(A27,"dddd")</x:f>
        <x:v>Saturday</x:v>
      </x:c>
      <x:c r="E27" s="56" t="n">
        <x:f>IFERROR(VLOOKUP(D27,'Work Schedule'!$A$4:$F$10,2,FALSE),"")</x:f>
        <x:v>0.3333333333333333</x:v>
      </x:c>
      <x:c r="F27" s="56" t="n">
        <x:f>IFERROR(VLOOKUP(D27,'Work Schedule'!$A$4:$F$10,3,FALSE),"")</x:f>
        <x:v>0.5833333333333334</x:v>
      </x:c>
      <x:c r="G27" s="50" t="n">
        <x:v>0.33125</x:v>
      </x:c>
      <x:c r="H27" s="50" t="n">
        <x:v>0.5840277777777778</x:v>
      </x:c>
      <x:c r="I27" s="52" t="n">
        <x:v>1</x:v>
      </x:c>
      <x:c r="J27" s="36" t="str">
        <x:v>None</x:v>
      </x:c>
      <x:c r="K27" s="52" t="n">
        <x:v>0</x:v>
      </x:c>
      <x:c r="L27" s="58" t="n">
        <x:f>IFERROR(VLOOKUP(D27,'Work Schedule'!$A$4:$F$10,5,FALSE),0)</x:f>
        <x:v>5</x:v>
      </x:c>
      <x:c r="M27" s="46" t="n">
        <x:f>IF(OR(G27="",H27=""),0,ROUND(MAX(0,(H27-G27)*24-I27),2))</x:f>
        <x:v>5.07</x:v>
      </x:c>
      <x:c r="N27" s="60" t="n">
        <x:f>A27-WEEKDAY(A27,2)+1</x:f>
        <x:v>46286</x:v>
      </x:c>
      <x:c r="O27" s="58" t="n">
        <x:f>ROUND(SUMIFS($M$4:$M$400,$B$4:$B$400,B27,$N$4:$N$400,N27,$A$4:$A$400,"&lt;="&amp;A27),2)</x:f>
        <x:v>45.71</x:v>
      </x:c>
      <x:c r="P27" s="46" t="n">
        <x:f>ROUND(MAX(0,M27-Q27),2)</x:f>
        <x:v>3.36</x:v>
      </x:c>
      <x:c r="Q27" s="46" t="n">
        <x:f>ROUND(MAX(0,O27-Settings!$B$13)-MAX(0,O27-M27-Settings!$B$13),2)</x:f>
        <x:v>1.71</x:v>
      </x:c>
      <x:c r="R27" s="46" t="n">
        <x:f>ROUND(M27+K27-L27,2)</x:f>
        <x:v>0.07</x:v>
      </x:c>
      <x:c r="S27" t="str">
        <x:f>IF(B27="","",IF(J27&lt;&gt;"None",J27,IF(Q27&gt;0,"Overtime",IF(G27&gt;E27,"Late",IF(H27&lt;F27,"Left Early","On Time")))))</x:f>
        <x:v>Overtime</x:v>
      </x:c>
      <x:c r="T27" s="36" t="str"/>
    </x:row>
    <x:row r="28">
      <x:c r="A28" s="37" t="n">
        <x:v>46293</x:v>
      </x:c>
      <x:c r="B28" s="36" t="str">
        <x:v>EMP-001</x:v>
      </x:c>
      <x:c r="C28" s="54" t="str">
        <x:f>IFERROR(VLOOKUP(B28,Employees!$A$4:$K$9,2,FALSE),"")</x:f>
        <x:v>Olivia Martin</x:v>
      </x:c>
      <x:c r="D28" s="54" t="str">
        <x:f>TEXT(A28,"dddd")</x:f>
        <x:v>Monday</x:v>
      </x:c>
      <x:c r="E28" s="56" t="n">
        <x:f>IFERROR(VLOOKUP(D28,'Work Schedule'!$A$4:$F$10,2,FALSE),"")</x:f>
        <x:v>0.3333333333333333</x:v>
      </x:c>
      <x:c r="F28" s="56" t="n">
        <x:f>IFERROR(VLOOKUP(D28,'Work Schedule'!$A$4:$F$10,3,FALSE),"")</x:f>
        <x:v>0.7083333333333334</x:v>
      </x:c>
      <x:c r="G28" s="50" t="n">
        <x:v>0.3333333333333333</x:v>
      </x:c>
      <x:c r="H28" s="50" t="n">
        <x:v>0.7069444444444445</x:v>
      </x:c>
      <x:c r="I28" s="52" t="n">
        <x:v>1</x:v>
      </x:c>
      <x:c r="J28" s="36" t="str">
        <x:v>None</x:v>
      </x:c>
      <x:c r="K28" s="52" t="n">
        <x:v>0</x:v>
      </x:c>
      <x:c r="L28" s="58" t="n">
        <x:f>IFERROR(VLOOKUP(D28,'Work Schedule'!$A$4:$F$10,5,FALSE),0)</x:f>
        <x:v>8</x:v>
      </x:c>
      <x:c r="M28" s="46" t="n">
        <x:f>IF(OR(G28="",H28=""),0,ROUND(MAX(0,(H28-G28)*24-I28),2))</x:f>
        <x:v>7.97</x:v>
      </x:c>
      <x:c r="N28" s="60" t="n">
        <x:f>A28-WEEKDAY(A28,2)+1</x:f>
        <x:v>46293</x:v>
      </x:c>
      <x:c r="O28" s="58" t="n">
        <x:f>ROUND(SUMIFS($M$4:$M$400,$B$4:$B$400,B28,$N$4:$N$400,N28,$A$4:$A$400,"&lt;="&amp;A28),2)</x:f>
        <x:v>7.97</x:v>
      </x:c>
      <x:c r="P28" s="46" t="n">
        <x:f>ROUND(MAX(0,M28-Q28),2)</x:f>
        <x:v>7.97</x:v>
      </x:c>
      <x:c r="Q28" s="46" t="n">
        <x:f>ROUND(MAX(0,O28-Settings!$B$13)-MAX(0,O28-M28-Settings!$B$13),2)</x:f>
        <x:v>0</x:v>
      </x:c>
      <x:c r="R28" s="46" t="n">
        <x:f>ROUND(M28+K28-L28,2)</x:f>
        <x:v>-0.03</x:v>
      </x:c>
      <x:c r="S28" t="str">
        <x:f>IF(B28="","",IF(J28&lt;&gt;"None",J28,IF(Q28&gt;0,"Overtime",IF(G28&gt;E28,"Late",IF(H28&lt;F28,"Left Early","On Time")))))</x:f>
        <x:v>Left Early</x:v>
      </x:c>
      <x:c r="T28" s="36" t="str"/>
    </x:row>
    <x:row r="29">
      <x:c r="A29" s="37" t="n">
        <x:v>46294</x:v>
      </x:c>
      <x:c r="B29" s="36" t="str">
        <x:v>EMP-001</x:v>
      </x:c>
      <x:c r="C29" s="54" t="str">
        <x:f>IFERROR(VLOOKUP(B29,Employees!$A$4:$K$9,2,FALSE),"")</x:f>
        <x:v>Olivia Martin</x:v>
      </x:c>
      <x:c r="D29" s="54" t="str">
        <x:f>TEXT(A29,"dddd")</x:f>
        <x:v>Tuesday</x:v>
      </x:c>
      <x:c r="E29" s="56" t="n">
        <x:f>IFERROR(VLOOKUP(D29,'Work Schedule'!$A$4:$F$10,2,FALSE),"")</x:f>
        <x:v>0.3333333333333333</x:v>
      </x:c>
      <x:c r="F29" s="56" t="n">
        <x:f>IFERROR(VLOOKUP(D29,'Work Schedule'!$A$4:$F$10,3,FALSE),"")</x:f>
        <x:v>0.7083333333333334</x:v>
      </x:c>
      <x:c r="G29" s="50" t="n">
        <x:v>0.33055555555555555</x:v>
      </x:c>
      <x:c r="H29" s="50" t="n">
        <x:v>0.7090277777777778</x:v>
      </x:c>
      <x:c r="I29" s="52" t="n">
        <x:v>1</x:v>
      </x:c>
      <x:c r="J29" s="36" t="str">
        <x:v>None</x:v>
      </x:c>
      <x:c r="K29" s="52" t="n">
        <x:v>0</x:v>
      </x:c>
      <x:c r="L29" s="58" t="n">
        <x:f>IFERROR(VLOOKUP(D29,'Work Schedule'!$A$4:$F$10,5,FALSE),0)</x:f>
        <x:v>8</x:v>
      </x:c>
      <x:c r="M29" s="46" t="n">
        <x:f>IF(OR(G29="",H29=""),0,ROUND(MAX(0,(H29-G29)*24-I29),2))</x:f>
        <x:v>8.08</x:v>
      </x:c>
      <x:c r="N29" s="60" t="n">
        <x:f>A29-WEEKDAY(A29,2)+1</x:f>
        <x:v>46293</x:v>
      </x:c>
      <x:c r="O29" s="58" t="n">
        <x:f>ROUND(SUMIFS($M$4:$M$400,$B$4:$B$400,B29,$N$4:$N$400,N29,$A$4:$A$400,"&lt;="&amp;A29),2)</x:f>
        <x:v>16.05</x:v>
      </x:c>
      <x:c r="P29" s="46" t="n">
        <x:f>ROUND(MAX(0,M29-Q29),2)</x:f>
        <x:v>8.08</x:v>
      </x:c>
      <x:c r="Q29" s="46" t="n">
        <x:f>ROUND(MAX(0,O29-Settings!$B$13)-MAX(0,O29-M29-Settings!$B$13),2)</x:f>
        <x:v>0</x:v>
      </x:c>
      <x:c r="R29" s="46" t="n">
        <x:f>ROUND(M29+K29-L29,2)</x:f>
        <x:v>0.08</x:v>
      </x:c>
      <x:c r="S29" t="str">
        <x:f>IF(B29="","",IF(J29&lt;&gt;"None",J29,IF(Q29&gt;0,"Overtime",IF(G29&gt;E29,"Late",IF(H29&lt;F29,"Left Early","On Time")))))</x:f>
        <x:v>On Time</x:v>
      </x:c>
      <x:c r="T29" s="36" t="str"/>
    </x:row>
    <x:row r="30">
      <x:c r="A30" s="37" t="n">
        <x:v>46295</x:v>
      </x:c>
      <x:c r="B30" s="36" t="str">
        <x:v>EMP-001</x:v>
      </x:c>
      <x:c r="C30" s="54" t="str">
        <x:f>IFERROR(VLOOKUP(B30,Employees!$A$4:$K$9,2,FALSE),"")</x:f>
        <x:v>Olivia Martin</x:v>
      </x:c>
      <x:c r="D30" s="54" t="str">
        <x:f>TEXT(A30,"dddd")</x:f>
        <x:v>Wednesday</x:v>
      </x:c>
      <x:c r="E30" s="56" t="n">
        <x:f>IFERROR(VLOOKUP(D30,'Work Schedule'!$A$4:$F$10,2,FALSE),"")</x:f>
        <x:v>0.3333333333333333</x:v>
      </x:c>
      <x:c r="F30" s="56" t="n">
        <x:f>IFERROR(VLOOKUP(D30,'Work Schedule'!$A$4:$F$10,3,FALSE),"")</x:f>
        <x:v>0.7083333333333334</x:v>
      </x:c>
      <x:c r="G30" s="50" t="n">
        <x:v>0.3326388888888889</x:v>
      </x:c>
      <x:c r="H30" s="50" t="n">
        <x:v>0.7097222222222223</x:v>
      </x:c>
      <x:c r="I30" s="52" t="n">
        <x:v>1</x:v>
      </x:c>
      <x:c r="J30" s="36" t="str">
        <x:v>None</x:v>
      </x:c>
      <x:c r="K30" s="52" t="n">
        <x:v>0</x:v>
      </x:c>
      <x:c r="L30" s="58" t="n">
        <x:f>IFERROR(VLOOKUP(D30,'Work Schedule'!$A$4:$F$10,5,FALSE),0)</x:f>
        <x:v>8</x:v>
      </x:c>
      <x:c r="M30" s="46" t="n">
        <x:f>IF(OR(G30="",H30=""),0,ROUND(MAX(0,(H30-G30)*24-I30),2))</x:f>
        <x:v>8.05</x:v>
      </x:c>
      <x:c r="N30" s="60" t="n">
        <x:f>A30-WEEKDAY(A30,2)+1</x:f>
        <x:v>46293</x:v>
      </x:c>
      <x:c r="O30" s="58" t="n">
        <x:f>ROUND(SUMIFS($M$4:$M$400,$B$4:$B$400,B30,$N$4:$N$400,N30,$A$4:$A$400,"&lt;="&amp;A30),2)</x:f>
        <x:v>24.1</x:v>
      </x:c>
      <x:c r="P30" s="46" t="n">
        <x:f>ROUND(MAX(0,M30-Q30),2)</x:f>
        <x:v>8.05</x:v>
      </x:c>
      <x:c r="Q30" s="46" t="n">
        <x:f>ROUND(MAX(0,O30-Settings!$B$13)-MAX(0,O30-M30-Settings!$B$13),2)</x:f>
        <x:v>0</x:v>
      </x:c>
      <x:c r="R30" s="46" t="n">
        <x:f>ROUND(M30+K30-L30,2)</x:f>
        <x:v>0.05</x:v>
      </x:c>
      <x:c r="S30" t="str">
        <x:f>IF(B30="","",IF(J30&lt;&gt;"None",J30,IF(Q30&gt;0,"Overtime",IF(G30&gt;E30,"Late",IF(H30&lt;F30,"Left Early","On Time")))))</x:f>
        <x:v>On Time</x:v>
      </x:c>
      <x:c r="T30" s="36" t="str"/>
    </x:row>
    <x:row r="31">
      <x:c r="A31" s="37" t="n">
        <x:v>46265</x:v>
      </x:c>
      <x:c r="B31" s="36" t="str">
        <x:v>EMP-002</x:v>
      </x:c>
      <x:c r="C31" s="54" t="str">
        <x:f>IFERROR(VLOOKUP(B31,Employees!$A$4:$K$9,2,FALSE),"")</x:f>
        <x:v>Liam Chen</x:v>
      </x:c>
      <x:c r="D31" s="54" t="str">
        <x:f>TEXT(A31,"dddd")</x:f>
        <x:v>Monday</x:v>
      </x:c>
      <x:c r="E31" s="56" t="n">
        <x:f>IFERROR(VLOOKUP(D31,'Work Schedule'!$A$4:$F$10,2,FALSE),"")</x:f>
        <x:v>0.3333333333333333</x:v>
      </x:c>
      <x:c r="F31" s="56" t="n">
        <x:f>IFERROR(VLOOKUP(D31,'Work Schedule'!$A$4:$F$10,3,FALSE),"")</x:f>
        <x:v>0.7083333333333334</x:v>
      </x:c>
      <x:c r="G31" s="50" t="n">
        <x:v>0.33402777777777776</x:v>
      </x:c>
      <x:c r="H31" s="50" t="n">
        <x:v>0.7076388888888889</x:v>
      </x:c>
      <x:c r="I31" s="52" t="n">
        <x:v>1</x:v>
      </x:c>
      <x:c r="J31" s="36" t="str">
        <x:v>None</x:v>
      </x:c>
      <x:c r="K31" s="52" t="n">
        <x:v>0</x:v>
      </x:c>
      <x:c r="L31" s="58" t="n">
        <x:f>IFERROR(VLOOKUP(D31,'Work Schedule'!$A$4:$F$10,5,FALSE),0)</x:f>
        <x:v>8</x:v>
      </x:c>
      <x:c r="M31" s="46" t="n">
        <x:f>IF(OR(G31="",H31=""),0,ROUND(MAX(0,(H31-G31)*24-I31),2))</x:f>
        <x:v>7.97</x:v>
      </x:c>
      <x:c r="N31" s="60" t="n">
        <x:f>A31-WEEKDAY(A31,2)+1</x:f>
        <x:v>46265</x:v>
      </x:c>
      <x:c r="O31" s="58" t="n">
        <x:f>ROUND(SUMIFS($M$4:$M$400,$B$4:$B$400,B31,$N$4:$N$400,N31,$A$4:$A$400,"&lt;="&amp;A31),2)</x:f>
        <x:v>7.97</x:v>
      </x:c>
      <x:c r="P31" s="46" t="n">
        <x:f>ROUND(MAX(0,M31-Q31),2)</x:f>
        <x:v>7.97</x:v>
      </x:c>
      <x:c r="Q31" s="46" t="n">
        <x:f>ROUND(MAX(0,O31-Settings!$B$13)-MAX(0,O31-M31-Settings!$B$13),2)</x:f>
        <x:v>0</x:v>
      </x:c>
      <x:c r="R31" s="46" t="n">
        <x:f>ROUND(M31+K31-L31,2)</x:f>
        <x:v>-0.03</x:v>
      </x:c>
      <x:c r="S31" t="str">
        <x:f>IF(B31="","",IF(J31&lt;&gt;"None",J31,IF(Q31&gt;0,"Overtime",IF(G31&gt;E31,"Late",IF(H31&lt;F31,"Left Early","On Time")))))</x:f>
        <x:v>Late</x:v>
      </x:c>
      <x:c r="T31" s="36" t="str"/>
    </x:row>
    <x:row r="32">
      <x:c r="A32" s="37" t="n">
        <x:v>46266</x:v>
      </x:c>
      <x:c r="B32" s="36" t="str">
        <x:v>EMP-002</x:v>
      </x:c>
      <x:c r="C32" s="54" t="str">
        <x:f>IFERROR(VLOOKUP(B32,Employees!$A$4:$K$9,2,FALSE),"")</x:f>
        <x:v>Liam Chen</x:v>
      </x:c>
      <x:c r="D32" s="54" t="str">
        <x:f>TEXT(A32,"dddd")</x:f>
        <x:v>Tuesday</x:v>
      </x:c>
      <x:c r="E32" s="56" t="n">
        <x:f>IFERROR(VLOOKUP(D32,'Work Schedule'!$A$4:$F$10,2,FALSE),"")</x:f>
        <x:v>0.3333333333333333</x:v>
      </x:c>
      <x:c r="F32" s="56" t="n">
        <x:f>IFERROR(VLOOKUP(D32,'Work Schedule'!$A$4:$F$10,3,FALSE),"")</x:f>
        <x:v>0.7083333333333334</x:v>
      </x:c>
      <x:c r="G32" s="50" t="n">
        <x:v>0.33194444444444443</x:v>
      </x:c>
      <x:c r="H32" s="50" t="n">
        <x:v>0.7083333333333334</x:v>
      </x:c>
      <x:c r="I32" s="52" t="n">
        <x:v>1</x:v>
      </x:c>
      <x:c r="J32" s="36" t="str">
        <x:v>None</x:v>
      </x:c>
      <x:c r="K32" s="52" t="n">
        <x:v>0</x:v>
      </x:c>
      <x:c r="L32" s="58" t="n">
        <x:f>IFERROR(VLOOKUP(D32,'Work Schedule'!$A$4:$F$10,5,FALSE),0)</x:f>
        <x:v>8</x:v>
      </x:c>
      <x:c r="M32" s="46" t="n">
        <x:f>IF(OR(G32="",H32=""),0,ROUND(MAX(0,(H32-G32)*24-I32),2))</x:f>
        <x:v>8.03</x:v>
      </x:c>
      <x:c r="N32" s="60" t="n">
        <x:f>A32-WEEKDAY(A32,2)+1</x:f>
        <x:v>46265</x:v>
      </x:c>
      <x:c r="O32" s="58" t="n">
        <x:f>ROUND(SUMIFS($M$4:$M$400,$B$4:$B$400,B32,$N$4:$N$400,N32,$A$4:$A$400,"&lt;="&amp;A32),2)</x:f>
        <x:v>16</x:v>
      </x:c>
      <x:c r="P32" s="46" t="n">
        <x:f>ROUND(MAX(0,M32-Q32),2)</x:f>
        <x:v>8.03</x:v>
      </x:c>
      <x:c r="Q32" s="46" t="n">
        <x:f>ROUND(MAX(0,O32-Settings!$B$13)-MAX(0,O32-M32-Settings!$B$13),2)</x:f>
        <x:v>0</x:v>
      </x:c>
      <x:c r="R32" s="46" t="n">
        <x:f>ROUND(M32+K32-L32,2)</x:f>
        <x:v>0.03</x:v>
      </x:c>
      <x:c r="S32" t="str">
        <x:f>IF(B32="","",IF(J32&lt;&gt;"None",J32,IF(Q32&gt;0,"Overtime",IF(G32&gt;E32,"Late",IF(H32&lt;F32,"Left Early","On Time")))))</x:f>
        <x:v>On Time</x:v>
      </x:c>
      <x:c r="T32" s="36" t="str"/>
    </x:row>
    <x:row r="33">
      <x:c r="A33" s="37" t="n">
        <x:v>46267</x:v>
      </x:c>
      <x:c r="B33" s="36" t="str">
        <x:v>EMP-002</x:v>
      </x:c>
      <x:c r="C33" s="54" t="str">
        <x:f>IFERROR(VLOOKUP(B33,Employees!$A$4:$K$9,2,FALSE),"")</x:f>
        <x:v>Liam Chen</x:v>
      </x:c>
      <x:c r="D33" s="54" t="str">
        <x:f>TEXT(A33,"dddd")</x:f>
        <x:v>Wednesday</x:v>
      </x:c>
      <x:c r="E33" s="56" t="n">
        <x:f>IFERROR(VLOOKUP(D33,'Work Schedule'!$A$4:$F$10,2,FALSE),"")</x:f>
        <x:v>0.3333333333333333</x:v>
      </x:c>
      <x:c r="F33" s="56" t="n">
        <x:f>IFERROR(VLOOKUP(D33,'Work Schedule'!$A$4:$F$10,3,FALSE),"")</x:f>
        <x:v>0.7083333333333334</x:v>
      </x:c>
      <x:c r="G33" s="50" t="n">
        <x:v>0.33194444444444443</x:v>
      </x:c>
      <x:c r="H33" s="50" t="n">
        <x:v>0.7118055555555556</x:v>
      </x:c>
      <x:c r="I33" s="52" t="n">
        <x:v>1</x:v>
      </x:c>
      <x:c r="J33" s="36" t="str">
        <x:v>None</x:v>
      </x:c>
      <x:c r="K33" s="52" t="n">
        <x:v>0</x:v>
      </x:c>
      <x:c r="L33" s="58" t="n">
        <x:f>IFERROR(VLOOKUP(D33,'Work Schedule'!$A$4:$F$10,5,FALSE),0)</x:f>
        <x:v>8</x:v>
      </x:c>
      <x:c r="M33" s="46" t="n">
        <x:f>IF(OR(G33="",H33=""),0,ROUND(MAX(0,(H33-G33)*24-I33),2))</x:f>
        <x:v>8.12</x:v>
      </x:c>
      <x:c r="N33" s="60" t="n">
        <x:f>A33-WEEKDAY(A33,2)+1</x:f>
        <x:v>46265</x:v>
      </x:c>
      <x:c r="O33" s="58" t="n">
        <x:f>ROUND(SUMIFS($M$4:$M$400,$B$4:$B$400,B33,$N$4:$N$400,N33,$A$4:$A$400,"&lt;="&amp;A33),2)</x:f>
        <x:v>24.12</x:v>
      </x:c>
      <x:c r="P33" s="46" t="n">
        <x:f>ROUND(MAX(0,M33-Q33),2)</x:f>
        <x:v>8.12</x:v>
      </x:c>
      <x:c r="Q33" s="46" t="n">
        <x:f>ROUND(MAX(0,O33-Settings!$B$13)-MAX(0,O33-M33-Settings!$B$13),2)</x:f>
        <x:v>0</x:v>
      </x:c>
      <x:c r="R33" s="46" t="n">
        <x:f>ROUND(M33+K33-L33,2)</x:f>
        <x:v>0.12</x:v>
      </x:c>
      <x:c r="S33" t="str">
        <x:f>IF(B33="","",IF(J33&lt;&gt;"None",J33,IF(Q33&gt;0,"Overtime",IF(G33&gt;E33,"Late",IF(H33&lt;F33,"Left Early","On Time")))))</x:f>
        <x:v>On Time</x:v>
      </x:c>
      <x:c r="T33" s="36" t="str"/>
    </x:row>
    <x:row r="34">
      <x:c r="A34" s="37" t="n">
        <x:v>46268</x:v>
      </x:c>
      <x:c r="B34" s="36" t="str">
        <x:v>EMP-002</x:v>
      </x:c>
      <x:c r="C34" s="54" t="str">
        <x:f>IFERROR(VLOOKUP(B34,Employees!$A$4:$K$9,2,FALSE),"")</x:f>
        <x:v>Liam Chen</x:v>
      </x:c>
      <x:c r="D34" s="54" t="str">
        <x:f>TEXT(A34,"dddd")</x:f>
        <x:v>Thursday</x:v>
      </x:c>
      <x:c r="E34" s="56" t="n">
        <x:f>IFERROR(VLOOKUP(D34,'Work Schedule'!$A$4:$F$10,2,FALSE),"")</x:f>
        <x:v>0.3333333333333333</x:v>
      </x:c>
      <x:c r="F34" s="56" t="n">
        <x:f>IFERROR(VLOOKUP(D34,'Work Schedule'!$A$4:$F$10,3,FALSE),"")</x:f>
        <x:v>0.7083333333333334</x:v>
      </x:c>
      <x:c r="G34" s="50" t="n">
        <x:v>0.33611111111111114</x:v>
      </x:c>
      <x:c r="H34" s="50" t="n">
        <x:v>0.7083333333333334</x:v>
      </x:c>
      <x:c r="I34" s="52" t="n">
        <x:v>1</x:v>
      </x:c>
      <x:c r="J34" s="36" t="str">
        <x:v>None</x:v>
      </x:c>
      <x:c r="K34" s="52" t="n">
        <x:v>0</x:v>
      </x:c>
      <x:c r="L34" s="58" t="n">
        <x:f>IFERROR(VLOOKUP(D34,'Work Schedule'!$A$4:$F$10,5,FALSE),0)</x:f>
        <x:v>8</x:v>
      </x:c>
      <x:c r="M34" s="46" t="n">
        <x:f>IF(OR(G34="",H34=""),0,ROUND(MAX(0,(H34-G34)*24-I34),2))</x:f>
        <x:v>7.93</x:v>
      </x:c>
      <x:c r="N34" s="60" t="n">
        <x:f>A34-WEEKDAY(A34,2)+1</x:f>
        <x:v>46265</x:v>
      </x:c>
      <x:c r="O34" s="58" t="n">
        <x:f>ROUND(SUMIFS($M$4:$M$400,$B$4:$B$400,B34,$N$4:$N$400,N34,$A$4:$A$400,"&lt;="&amp;A34),2)</x:f>
        <x:v>32.05</x:v>
      </x:c>
      <x:c r="P34" s="46" t="n">
        <x:f>ROUND(MAX(0,M34-Q34),2)</x:f>
        <x:v>7.93</x:v>
      </x:c>
      <x:c r="Q34" s="46" t="n">
        <x:f>ROUND(MAX(0,O34-Settings!$B$13)-MAX(0,O34-M34-Settings!$B$13),2)</x:f>
        <x:v>0</x:v>
      </x:c>
      <x:c r="R34" s="46" t="n">
        <x:f>ROUND(M34+K34-L34,2)</x:f>
        <x:v>-0.07</x:v>
      </x:c>
      <x:c r="S34" t="str">
        <x:f>IF(B34="","",IF(J34&lt;&gt;"None",J34,IF(Q34&gt;0,"Overtime",IF(G34&gt;E34,"Late",IF(H34&lt;F34,"Left Early","On Time")))))</x:f>
        <x:v>Late</x:v>
      </x:c>
      <x:c r="T34" s="36" t="str">
        <x:v>Arrived 4 minutes late.</x:v>
      </x:c>
    </x:row>
    <x:row r="35">
      <x:c r="A35" s="37" t="n">
        <x:v>46269</x:v>
      </x:c>
      <x:c r="B35" s="36" t="str">
        <x:v>EMP-002</x:v>
      </x:c>
      <x:c r="C35" s="54" t="str">
        <x:f>IFERROR(VLOOKUP(B35,Employees!$A$4:$K$9,2,FALSE),"")</x:f>
        <x:v>Liam Chen</x:v>
      </x:c>
      <x:c r="D35" s="54" t="str">
        <x:f>TEXT(A35,"dddd")</x:f>
        <x:v>Friday</x:v>
      </x:c>
      <x:c r="E35" s="56" t="n">
        <x:f>IFERROR(VLOOKUP(D35,'Work Schedule'!$A$4:$F$10,2,FALSE),"")</x:f>
        <x:v>0.3333333333333333</x:v>
      </x:c>
      <x:c r="F35" s="56" t="n">
        <x:f>IFERROR(VLOOKUP(D35,'Work Schedule'!$A$4:$F$10,3,FALSE),"")</x:f>
        <x:v>0.7083333333333334</x:v>
      </x:c>
      <x:c r="G35" s="50" t="n">
        <x:v>0.3333333333333333</x:v>
      </x:c>
      <x:c r="H35" s="50" t="n">
        <x:v>0.7097222222222223</x:v>
      </x:c>
      <x:c r="I35" s="52" t="n">
        <x:v>1</x:v>
      </x:c>
      <x:c r="J35" s="36" t="str">
        <x:v>None</x:v>
      </x:c>
      <x:c r="K35" s="52" t="n">
        <x:v>0</x:v>
      </x:c>
      <x:c r="L35" s="58" t="n">
        <x:f>IFERROR(VLOOKUP(D35,'Work Schedule'!$A$4:$F$10,5,FALSE),0)</x:f>
        <x:v>8</x:v>
      </x:c>
      <x:c r="M35" s="46" t="n">
        <x:f>IF(OR(G35="",H35=""),0,ROUND(MAX(0,(H35-G35)*24-I35),2))</x:f>
        <x:v>8.03</x:v>
      </x:c>
      <x:c r="N35" s="60" t="n">
        <x:f>A35-WEEKDAY(A35,2)+1</x:f>
        <x:v>46265</x:v>
      </x:c>
      <x:c r="O35" s="58" t="n">
        <x:f>ROUND(SUMIFS($M$4:$M$400,$B$4:$B$400,B35,$N$4:$N$400,N35,$A$4:$A$400,"&lt;="&amp;A35),2)</x:f>
        <x:v>40.08</x:v>
      </x:c>
      <x:c r="P35" s="46" t="n">
        <x:f>ROUND(MAX(0,M35-Q35),2)</x:f>
        <x:v>8.03</x:v>
      </x:c>
      <x:c r="Q35" s="46" t="n">
        <x:f>ROUND(MAX(0,O35-Settings!$B$13)-MAX(0,O35-M35-Settings!$B$13),2)</x:f>
        <x:v>0</x:v>
      </x:c>
      <x:c r="R35" s="46" t="n">
        <x:f>ROUND(M35+K35-L35,2)</x:f>
        <x:v>0.03</x:v>
      </x:c>
      <x:c r="S35" t="str">
        <x:f>IF(B35="","",IF(J35&lt;&gt;"None",J35,IF(Q35&gt;0,"Overtime",IF(G35&gt;E35,"Late",IF(H35&lt;F35,"Left Early","On Time")))))</x:f>
        <x:v>On Time</x:v>
      </x:c>
      <x:c r="T35" s="36" t="str"/>
    </x:row>
    <x:row r="36">
      <x:c r="A36" s="37" t="n">
        <x:v>46270</x:v>
      </x:c>
      <x:c r="B36" s="36" t="str">
        <x:v>EMP-002</x:v>
      </x:c>
      <x:c r="C36" s="54" t="str">
        <x:f>IFERROR(VLOOKUP(B36,Employees!$A$4:$K$9,2,FALSE),"")</x:f>
        <x:v>Liam Chen</x:v>
      </x:c>
      <x:c r="D36" s="54" t="str">
        <x:f>TEXT(A36,"dddd")</x:f>
        <x:v>Saturday</x:v>
      </x:c>
      <x:c r="E36" s="56" t="n">
        <x:f>IFERROR(VLOOKUP(D36,'Work Schedule'!$A$4:$F$10,2,FALSE),"")</x:f>
        <x:v>0.3333333333333333</x:v>
      </x:c>
      <x:c r="F36" s="56" t="n">
        <x:f>IFERROR(VLOOKUP(D36,'Work Schedule'!$A$4:$F$10,3,FALSE),"")</x:f>
        <x:v>0.5833333333333334</x:v>
      </x:c>
      <x:c r="G36" s="50" t="n">
        <x:v>0.33125</x:v>
      </x:c>
      <x:c r="H36" s="50" t="n">
        <x:v>0.5826388888888889</x:v>
      </x:c>
      <x:c r="I36" s="52" t="n">
        <x:v>1</x:v>
      </x:c>
      <x:c r="J36" s="36" t="str">
        <x:v>None</x:v>
      </x:c>
      <x:c r="K36" s="52" t="n">
        <x:v>0</x:v>
      </x:c>
      <x:c r="L36" s="58" t="n">
        <x:f>IFERROR(VLOOKUP(D36,'Work Schedule'!$A$4:$F$10,5,FALSE),0)</x:f>
        <x:v>5</x:v>
      </x:c>
      <x:c r="M36" s="46" t="n">
        <x:f>IF(OR(G36="",H36=""),0,ROUND(MAX(0,(H36-G36)*24-I36),2))</x:f>
        <x:v>5.03</x:v>
      </x:c>
      <x:c r="N36" s="60" t="n">
        <x:f>A36-WEEKDAY(A36,2)+1</x:f>
        <x:v>46265</x:v>
      </x:c>
      <x:c r="O36" s="58" t="n">
        <x:f>ROUND(SUMIFS($M$4:$M$400,$B$4:$B$400,B36,$N$4:$N$400,N36,$A$4:$A$400,"&lt;="&amp;A36),2)</x:f>
        <x:v>45.11</x:v>
      </x:c>
      <x:c r="P36" s="46" t="n">
        <x:f>ROUND(MAX(0,M36-Q36),2)</x:f>
        <x:v>3.92</x:v>
      </x:c>
      <x:c r="Q36" s="46" t="n">
        <x:f>ROUND(MAX(0,O36-Settings!$B$13)-MAX(0,O36-M36-Settings!$B$13),2)</x:f>
        <x:v>1.11</x:v>
      </x:c>
      <x:c r="R36" s="46" t="n">
        <x:f>ROUND(M36+K36-L36,2)</x:f>
        <x:v>0.03</x:v>
      </x:c>
      <x:c r="S36" t="str">
        <x:f>IF(B36="","",IF(J36&lt;&gt;"None",J36,IF(Q36&gt;0,"Overtime",IF(G36&gt;E36,"Late",IF(H36&lt;F36,"Left Early","On Time")))))</x:f>
        <x:v>Overtime</x:v>
      </x:c>
      <x:c r="T36" s="36" t="str"/>
    </x:row>
    <x:row r="37">
      <x:c r="A37" s="37" t="n">
        <x:v>46272</x:v>
      </x:c>
      <x:c r="B37" s="36" t="str">
        <x:v>EMP-002</x:v>
      </x:c>
      <x:c r="C37" s="54" t="str">
        <x:f>IFERROR(VLOOKUP(B37,Employees!$A$4:$K$9,2,FALSE),"")</x:f>
        <x:v>Liam Chen</x:v>
      </x:c>
      <x:c r="D37" s="54" t="str">
        <x:f>TEXT(A37,"dddd")</x:f>
        <x:v>Monday</x:v>
      </x:c>
      <x:c r="E37" s="56" t="n">
        <x:f>IFERROR(VLOOKUP(D37,'Work Schedule'!$A$4:$F$10,2,FALSE),"")</x:f>
        <x:v>0.3333333333333333</x:v>
      </x:c>
      <x:c r="F37" s="56" t="n">
        <x:f>IFERROR(VLOOKUP(D37,'Work Schedule'!$A$4:$F$10,3,FALSE),"")</x:f>
        <x:v>0.7083333333333334</x:v>
      </x:c>
      <x:c r="G37" s="50"/>
      <x:c r="H37" s="50"/>
      <x:c r="I37" s="52" t="n">
        <x:v>0</x:v>
      </x:c>
      <x:c r="J37" s="36" t="str">
        <x:v>Public Holiday</x:v>
      </x:c>
      <x:c r="K37" s="52" t="n">
        <x:v>8</x:v>
      </x:c>
      <x:c r="L37" s="58" t="n">
        <x:f>IFERROR(VLOOKUP(D37,'Work Schedule'!$A$4:$F$10,5,FALSE),0)</x:f>
        <x:v>8</x:v>
      </x:c>
      <x:c r="M37" s="46" t="n">
        <x:f>IF(OR(G37="",H37=""),0,ROUND(MAX(0,(H37-G37)*24-I37),2))</x:f>
        <x:v>0</x:v>
      </x:c>
      <x:c r="N37" s="60" t="n">
        <x:f>A37-WEEKDAY(A37,2)+1</x:f>
        <x:v>46272</x:v>
      </x:c>
      <x:c r="O37" s="58" t="n">
        <x:f>ROUND(SUMIFS($M$4:$M$400,$B$4:$B$400,B37,$N$4:$N$400,N37,$A$4:$A$400,"&lt;="&amp;A37),2)</x:f>
        <x:v>0</x:v>
      </x:c>
      <x:c r="P37" s="46" t="n">
        <x:f>ROUND(MAX(0,M37-Q37),2)</x:f>
        <x:v>0</x:v>
      </x:c>
      <x:c r="Q37" s="46" t="n">
        <x:f>ROUND(MAX(0,O37-Settings!$B$13)-MAX(0,O37-M37-Settings!$B$13),2)</x:f>
        <x:v>0</x:v>
      </x:c>
      <x:c r="R37" s="46" t="n">
        <x:f>ROUND(M37+K37-L37,2)</x:f>
        <x:v>0</x:v>
      </x:c>
      <x:c r="S37" t="str">
        <x:f>IF(B37="","",IF(J37&lt;&gt;"None",J37,IF(Q37&gt;0,"Overtime",IF(G37&gt;E37,"Late",IF(H37&lt;F37,"Left Early","On Time")))))</x:f>
        <x:v>Public Holiday</x:v>
      </x:c>
      <x:c r="T37" s="36" t="str">
        <x:v>Labour Day</x:v>
      </x:c>
    </x:row>
    <x:row r="38">
      <x:c r="A38" s="37" t="n">
        <x:v>46273</x:v>
      </x:c>
      <x:c r="B38" s="36" t="str">
        <x:v>EMP-002</x:v>
      </x:c>
      <x:c r="C38" s="54" t="str">
        <x:f>IFERROR(VLOOKUP(B38,Employees!$A$4:$K$9,2,FALSE),"")</x:f>
        <x:v>Liam Chen</x:v>
      </x:c>
      <x:c r="D38" s="54" t="str">
        <x:f>TEXT(A38,"dddd")</x:f>
        <x:v>Tuesday</x:v>
      </x:c>
      <x:c r="E38" s="56" t="n">
        <x:f>IFERROR(VLOOKUP(D38,'Work Schedule'!$A$4:$F$10,2,FALSE),"")</x:f>
        <x:v>0.3333333333333333</x:v>
      </x:c>
      <x:c r="F38" s="56" t="n">
        <x:f>IFERROR(VLOOKUP(D38,'Work Schedule'!$A$4:$F$10,3,FALSE),"")</x:f>
        <x:v>0.7083333333333334</x:v>
      </x:c>
      <x:c r="G38" s="50" t="n">
        <x:v>0.3326388888888889</x:v>
      </x:c>
      <x:c r="H38" s="50" t="n">
        <x:v>0.7083333333333334</x:v>
      </x:c>
      <x:c r="I38" s="52" t="n">
        <x:v>1</x:v>
      </x:c>
      <x:c r="J38" s="36" t="str">
        <x:v>None</x:v>
      </x:c>
      <x:c r="K38" s="52" t="n">
        <x:v>0</x:v>
      </x:c>
      <x:c r="L38" s="58" t="n">
        <x:f>IFERROR(VLOOKUP(D38,'Work Schedule'!$A$4:$F$10,5,FALSE),0)</x:f>
        <x:v>8</x:v>
      </x:c>
      <x:c r="M38" s="46" t="n">
        <x:f>IF(OR(G38="",H38=""),0,ROUND(MAX(0,(H38-G38)*24-I38),2))</x:f>
        <x:v>8.02</x:v>
      </x:c>
      <x:c r="N38" s="60" t="n">
        <x:f>A38-WEEKDAY(A38,2)+1</x:f>
        <x:v>46272</x:v>
      </x:c>
      <x:c r="O38" s="58" t="n">
        <x:f>ROUND(SUMIFS($M$4:$M$400,$B$4:$B$400,B38,$N$4:$N$400,N38,$A$4:$A$400,"&lt;="&amp;A38),2)</x:f>
        <x:v>8.02</x:v>
      </x:c>
      <x:c r="P38" s="46" t="n">
        <x:f>ROUND(MAX(0,M38-Q38),2)</x:f>
        <x:v>8.02</x:v>
      </x:c>
      <x:c r="Q38" s="46" t="n">
        <x:f>ROUND(MAX(0,O38-Settings!$B$13)-MAX(0,O38-M38-Settings!$B$13),2)</x:f>
        <x:v>0</x:v>
      </x:c>
      <x:c r="R38" s="46" t="n">
        <x:f>ROUND(M38+K38-L38,2)</x:f>
        <x:v>0.02</x:v>
      </x:c>
      <x:c r="S38" t="str">
        <x:f>IF(B38="","",IF(J38&lt;&gt;"None",J38,IF(Q38&gt;0,"Overtime",IF(G38&gt;E38,"Late",IF(H38&lt;F38,"Left Early","On Time")))))</x:f>
        <x:v>On Time</x:v>
      </x:c>
      <x:c r="T38" s="36" t="str"/>
    </x:row>
    <x:row r="39">
      <x:c r="A39" s="37" t="n">
        <x:v>46274</x:v>
      </x:c>
      <x:c r="B39" s="36" t="str">
        <x:v>EMP-002</x:v>
      </x:c>
      <x:c r="C39" s="54" t="str">
        <x:f>IFERROR(VLOOKUP(B39,Employees!$A$4:$K$9,2,FALSE),"")</x:f>
        <x:v>Liam Chen</x:v>
      </x:c>
      <x:c r="D39" s="54" t="str">
        <x:f>TEXT(A39,"dddd")</x:f>
        <x:v>Wednesday</x:v>
      </x:c>
      <x:c r="E39" s="56" t="n">
        <x:f>IFERROR(VLOOKUP(D39,'Work Schedule'!$A$4:$F$10,2,FALSE),"")</x:f>
        <x:v>0.3333333333333333</x:v>
      </x:c>
      <x:c r="F39" s="56" t="n">
        <x:f>IFERROR(VLOOKUP(D39,'Work Schedule'!$A$4:$F$10,3,FALSE),"")</x:f>
        <x:v>0.7083333333333334</x:v>
      </x:c>
      <x:c r="G39" s="50" t="n">
        <x:v>0.3333333333333333</x:v>
      </x:c>
      <x:c r="H39" s="50" t="n">
        <x:v>0.7083333333333334</x:v>
      </x:c>
      <x:c r="I39" s="52" t="n">
        <x:v>1</x:v>
      </x:c>
      <x:c r="J39" s="36" t="str">
        <x:v>None</x:v>
      </x:c>
      <x:c r="K39" s="52" t="n">
        <x:v>0</x:v>
      </x:c>
      <x:c r="L39" s="58" t="n">
        <x:f>IFERROR(VLOOKUP(D39,'Work Schedule'!$A$4:$F$10,5,FALSE),0)</x:f>
        <x:v>8</x:v>
      </x:c>
      <x:c r="M39" s="46" t="n">
        <x:f>IF(OR(G39="",H39=""),0,ROUND(MAX(0,(H39-G39)*24-I39),2))</x:f>
        <x:v>8</x:v>
      </x:c>
      <x:c r="N39" s="60" t="n">
        <x:f>A39-WEEKDAY(A39,2)+1</x:f>
        <x:v>46272</x:v>
      </x:c>
      <x:c r="O39" s="58" t="n">
        <x:f>ROUND(SUMIFS($M$4:$M$400,$B$4:$B$400,B39,$N$4:$N$400,N39,$A$4:$A$400,"&lt;="&amp;A39),2)</x:f>
        <x:v>16.02</x:v>
      </x:c>
      <x:c r="P39" s="46" t="n">
        <x:f>ROUND(MAX(0,M39-Q39),2)</x:f>
        <x:v>8</x:v>
      </x:c>
      <x:c r="Q39" s="46" t="n">
        <x:f>ROUND(MAX(0,O39-Settings!$B$13)-MAX(0,O39-M39-Settings!$B$13),2)</x:f>
        <x:v>0</x:v>
      </x:c>
      <x:c r="R39" s="46" t="n">
        <x:f>ROUND(M39+K39-L39,2)</x:f>
        <x:v>0</x:v>
      </x:c>
      <x:c r="S39" t="str">
        <x:f>IF(B39="","",IF(J39&lt;&gt;"None",J39,IF(Q39&gt;0,"Overtime",IF(G39&gt;E39,"Late",IF(H39&lt;F39,"Left Early","On Time")))))</x:f>
        <x:v>On Time</x:v>
      </x:c>
      <x:c r="T39" s="36" t="str"/>
    </x:row>
    <x:row r="40">
      <x:c r="A40" s="37" t="n">
        <x:v>46275</x:v>
      </x:c>
      <x:c r="B40" s="36" t="str">
        <x:v>EMP-002</x:v>
      </x:c>
      <x:c r="C40" s="54" t="str">
        <x:f>IFERROR(VLOOKUP(B40,Employees!$A$4:$K$9,2,FALSE),"")</x:f>
        <x:v>Liam Chen</x:v>
      </x:c>
      <x:c r="D40" s="54" t="str">
        <x:f>TEXT(A40,"dddd")</x:f>
        <x:v>Thursday</x:v>
      </x:c>
      <x:c r="E40" s="56" t="n">
        <x:f>IFERROR(VLOOKUP(D40,'Work Schedule'!$A$4:$F$10,2,FALSE),"")</x:f>
        <x:v>0.3333333333333333</x:v>
      </x:c>
      <x:c r="F40" s="56" t="n">
        <x:f>IFERROR(VLOOKUP(D40,'Work Schedule'!$A$4:$F$10,3,FALSE),"")</x:f>
        <x:v>0.7083333333333334</x:v>
      </x:c>
      <x:c r="G40" s="50" t="n">
        <x:v>0.33125</x:v>
      </x:c>
      <x:c r="H40" s="50" t="n">
        <x:v>0.7395833333333334</x:v>
      </x:c>
      <x:c r="I40" s="52" t="n">
        <x:v>1</x:v>
      </x:c>
      <x:c r="J40" s="36" t="str">
        <x:v>None</x:v>
      </x:c>
      <x:c r="K40" s="52" t="n">
        <x:v>0</x:v>
      </x:c>
      <x:c r="L40" s="58" t="n">
        <x:f>IFERROR(VLOOKUP(D40,'Work Schedule'!$A$4:$F$10,5,FALSE),0)</x:f>
        <x:v>8</x:v>
      </x:c>
      <x:c r="M40" s="46" t="n">
        <x:f>IF(OR(G40="",H40=""),0,ROUND(MAX(0,(H40-G40)*24-I40),2))</x:f>
        <x:v>8.8</x:v>
      </x:c>
      <x:c r="N40" s="60" t="n">
        <x:f>A40-WEEKDAY(A40,2)+1</x:f>
        <x:v>46272</x:v>
      </x:c>
      <x:c r="O40" s="58" t="n">
        <x:f>ROUND(SUMIFS($M$4:$M$400,$B$4:$B$400,B40,$N$4:$N$400,N40,$A$4:$A$400,"&lt;="&amp;A40),2)</x:f>
        <x:v>24.82</x:v>
      </x:c>
      <x:c r="P40" s="46" t="n">
        <x:f>ROUND(MAX(0,M40-Q40),2)</x:f>
        <x:v>8.8</x:v>
      </x:c>
      <x:c r="Q40" s="46" t="n">
        <x:f>ROUND(MAX(0,O40-Settings!$B$13)-MAX(0,O40-M40-Settings!$B$13),2)</x:f>
        <x:v>0</x:v>
      </x:c>
      <x:c r="R40" s="46" t="n">
        <x:f>ROUND(M40+K40-L40,2)</x:f>
        <x:v>0.8</x:v>
      </x:c>
      <x:c r="S40" t="str">
        <x:f>IF(B40="","",IF(J40&lt;&gt;"None",J40,IF(Q40&gt;0,"Overtime",IF(G40&gt;E40,"Late",IF(H40&lt;F40,"Left Early","On Time")))))</x:f>
        <x:v>On Time</x:v>
      </x:c>
      <x:c r="T40" s="36" t="str">
        <x:v>Inventory receiving required additional time.</x:v>
      </x:c>
    </x:row>
    <x:row r="41">
      <x:c r="A41" s="37" t="n">
        <x:v>46276</x:v>
      </x:c>
      <x:c r="B41" s="36" t="str">
        <x:v>EMP-002</x:v>
      </x:c>
      <x:c r="C41" s="54" t="str">
        <x:f>IFERROR(VLOOKUP(B41,Employees!$A$4:$K$9,2,FALSE),"")</x:f>
        <x:v>Liam Chen</x:v>
      </x:c>
      <x:c r="D41" s="54" t="str">
        <x:f>TEXT(A41,"dddd")</x:f>
        <x:v>Friday</x:v>
      </x:c>
      <x:c r="E41" s="56" t="n">
        <x:f>IFERROR(VLOOKUP(D41,'Work Schedule'!$A$4:$F$10,2,FALSE),"")</x:f>
        <x:v>0.3333333333333333</x:v>
      </x:c>
      <x:c r="F41" s="56" t="n">
        <x:f>IFERROR(VLOOKUP(D41,'Work Schedule'!$A$4:$F$10,3,FALSE),"")</x:f>
        <x:v>0.7083333333333334</x:v>
      </x:c>
      <x:c r="G41" s="50" t="n">
        <x:v>0.3333333333333333</x:v>
      </x:c>
      <x:c r="H41" s="50" t="n">
        <x:v>0.7111111111111111</x:v>
      </x:c>
      <x:c r="I41" s="52" t="n">
        <x:v>1</x:v>
      </x:c>
      <x:c r="J41" s="36" t="str">
        <x:v>None</x:v>
      </x:c>
      <x:c r="K41" s="52" t="n">
        <x:v>0</x:v>
      </x:c>
      <x:c r="L41" s="58" t="n">
        <x:f>IFERROR(VLOOKUP(D41,'Work Schedule'!$A$4:$F$10,5,FALSE),0)</x:f>
        <x:v>8</x:v>
      </x:c>
      <x:c r="M41" s="46" t="n">
        <x:f>IF(OR(G41="",H41=""),0,ROUND(MAX(0,(H41-G41)*24-I41),2))</x:f>
        <x:v>8.07</x:v>
      </x:c>
      <x:c r="N41" s="60" t="n">
        <x:f>A41-WEEKDAY(A41,2)+1</x:f>
        <x:v>46272</x:v>
      </x:c>
      <x:c r="O41" s="58" t="n">
        <x:f>ROUND(SUMIFS($M$4:$M$400,$B$4:$B$400,B41,$N$4:$N$400,N41,$A$4:$A$400,"&lt;="&amp;A41),2)</x:f>
        <x:v>32.89</x:v>
      </x:c>
      <x:c r="P41" s="46" t="n">
        <x:f>ROUND(MAX(0,M41-Q41),2)</x:f>
        <x:v>8.07</x:v>
      </x:c>
      <x:c r="Q41" s="46" t="n">
        <x:f>ROUND(MAX(0,O41-Settings!$B$13)-MAX(0,O41-M41-Settings!$B$13),2)</x:f>
        <x:v>0</x:v>
      </x:c>
      <x:c r="R41" s="46" t="n">
        <x:f>ROUND(M41+K41-L41,2)</x:f>
        <x:v>0.07</x:v>
      </x:c>
      <x:c r="S41" t="str">
        <x:f>IF(B41="","",IF(J41&lt;&gt;"None",J41,IF(Q41&gt;0,"Overtime",IF(G41&gt;E41,"Late",IF(H41&lt;F41,"Left Early","On Time")))))</x:f>
        <x:v>On Time</x:v>
      </x:c>
      <x:c r="T41" s="36" t="str"/>
    </x:row>
    <x:row r="42">
      <x:c r="A42" s="37" t="n">
        <x:v>46277</x:v>
      </x:c>
      <x:c r="B42" s="36" t="str">
        <x:v>EMP-002</x:v>
      </x:c>
      <x:c r="C42" s="54" t="str">
        <x:f>IFERROR(VLOOKUP(B42,Employees!$A$4:$K$9,2,FALSE),"")</x:f>
        <x:v>Liam Chen</x:v>
      </x:c>
      <x:c r="D42" s="54" t="str">
        <x:f>TEXT(A42,"dddd")</x:f>
        <x:v>Saturday</x:v>
      </x:c>
      <x:c r="E42" s="56" t="n">
        <x:f>IFERROR(VLOOKUP(D42,'Work Schedule'!$A$4:$F$10,2,FALSE),"")</x:f>
        <x:v>0.3333333333333333</x:v>
      </x:c>
      <x:c r="F42" s="56" t="n">
        <x:f>IFERROR(VLOOKUP(D42,'Work Schedule'!$A$4:$F$10,3,FALSE),"")</x:f>
        <x:v>0.5833333333333334</x:v>
      </x:c>
      <x:c r="G42" s="50" t="n">
        <x:v>0.33055555555555555</x:v>
      </x:c>
      <x:c r="H42" s="50" t="n">
        <x:v>0.5826388888888889</x:v>
      </x:c>
      <x:c r="I42" s="52" t="n">
        <x:v>1</x:v>
      </x:c>
      <x:c r="J42" s="36" t="str">
        <x:v>None</x:v>
      </x:c>
      <x:c r="K42" s="52" t="n">
        <x:v>0</x:v>
      </x:c>
      <x:c r="L42" s="58" t="n">
        <x:f>IFERROR(VLOOKUP(D42,'Work Schedule'!$A$4:$F$10,5,FALSE),0)</x:f>
        <x:v>5</x:v>
      </x:c>
      <x:c r="M42" s="46" t="n">
        <x:f>IF(OR(G42="",H42=""),0,ROUND(MAX(0,(H42-G42)*24-I42),2))</x:f>
        <x:v>5.05</x:v>
      </x:c>
      <x:c r="N42" s="60" t="n">
        <x:f>A42-WEEKDAY(A42,2)+1</x:f>
        <x:v>46272</x:v>
      </x:c>
      <x:c r="O42" s="58" t="n">
        <x:f>ROUND(SUMIFS($M$4:$M$400,$B$4:$B$400,B42,$N$4:$N$400,N42,$A$4:$A$400,"&lt;="&amp;A42),2)</x:f>
        <x:v>37.94</x:v>
      </x:c>
      <x:c r="P42" s="46" t="n">
        <x:f>ROUND(MAX(0,M42-Q42),2)</x:f>
        <x:v>5.05</x:v>
      </x:c>
      <x:c r="Q42" s="46" t="n">
        <x:f>ROUND(MAX(0,O42-Settings!$B$13)-MAX(0,O42-M42-Settings!$B$13),2)</x:f>
        <x:v>0</x:v>
      </x:c>
      <x:c r="R42" s="46" t="n">
        <x:f>ROUND(M42+K42-L42,2)</x:f>
        <x:v>0.05</x:v>
      </x:c>
      <x:c r="S42" t="str">
        <x:f>IF(B42="","",IF(J42&lt;&gt;"None",J42,IF(Q42&gt;0,"Overtime",IF(G42&gt;E42,"Late",IF(H42&lt;F42,"Left Early","On Time")))))</x:f>
        <x:v>Left Early</x:v>
      </x:c>
      <x:c r="T42" s="36" t="str"/>
    </x:row>
    <x:row r="43">
      <x:c r="A43" s="37" t="n">
        <x:v>46279</x:v>
      </x:c>
      <x:c r="B43" s="36" t="str">
        <x:v>EMP-002</x:v>
      </x:c>
      <x:c r="C43" s="54" t="str">
        <x:f>IFERROR(VLOOKUP(B43,Employees!$A$4:$K$9,2,FALSE),"")</x:f>
        <x:v>Liam Chen</x:v>
      </x:c>
      <x:c r="D43" s="54" t="str">
        <x:f>TEXT(A43,"dddd")</x:f>
        <x:v>Monday</x:v>
      </x:c>
      <x:c r="E43" s="56" t="n">
        <x:f>IFERROR(VLOOKUP(D43,'Work Schedule'!$A$4:$F$10,2,FALSE),"")</x:f>
        <x:v>0.3333333333333333</x:v>
      </x:c>
      <x:c r="F43" s="56" t="n">
        <x:f>IFERROR(VLOOKUP(D43,'Work Schedule'!$A$4:$F$10,3,FALSE),"")</x:f>
        <x:v>0.7083333333333334</x:v>
      </x:c>
      <x:c r="G43" s="50" t="n">
        <x:v>0.3347222222222222</x:v>
      </x:c>
      <x:c r="H43" s="50" t="n">
        <x:v>0.7118055555555556</x:v>
      </x:c>
      <x:c r="I43" s="52" t="n">
        <x:v>1</x:v>
      </x:c>
      <x:c r="J43" s="36" t="str">
        <x:v>None</x:v>
      </x:c>
      <x:c r="K43" s="52" t="n">
        <x:v>0</x:v>
      </x:c>
      <x:c r="L43" s="58" t="n">
        <x:f>IFERROR(VLOOKUP(D43,'Work Schedule'!$A$4:$F$10,5,FALSE),0)</x:f>
        <x:v>8</x:v>
      </x:c>
      <x:c r="M43" s="46" t="n">
        <x:f>IF(OR(G43="",H43=""),0,ROUND(MAX(0,(H43-G43)*24-I43),2))</x:f>
        <x:v>8.05</x:v>
      </x:c>
      <x:c r="N43" s="60" t="n">
        <x:f>A43-WEEKDAY(A43,2)+1</x:f>
        <x:v>46279</x:v>
      </x:c>
      <x:c r="O43" s="58" t="n">
        <x:f>ROUND(SUMIFS($M$4:$M$400,$B$4:$B$400,B43,$N$4:$N$400,N43,$A$4:$A$400,"&lt;="&amp;A43),2)</x:f>
        <x:v>8.05</x:v>
      </x:c>
      <x:c r="P43" s="46" t="n">
        <x:f>ROUND(MAX(0,M43-Q43),2)</x:f>
        <x:v>8.05</x:v>
      </x:c>
      <x:c r="Q43" s="46" t="n">
        <x:f>ROUND(MAX(0,O43-Settings!$B$13)-MAX(0,O43-M43-Settings!$B$13),2)</x:f>
        <x:v>0</x:v>
      </x:c>
      <x:c r="R43" s="46" t="n">
        <x:f>ROUND(M43+K43-L43,2)</x:f>
        <x:v>0.05</x:v>
      </x:c>
      <x:c r="S43" t="str">
        <x:f>IF(B43="","",IF(J43&lt;&gt;"None",J43,IF(Q43&gt;0,"Overtime",IF(G43&gt;E43,"Late",IF(H43&lt;F43,"Left Early","On Time")))))</x:f>
        <x:v>Late</x:v>
      </x:c>
      <x:c r="T43" s="36" t="str"/>
    </x:row>
    <x:row r="44">
      <x:c r="A44" s="37" t="n">
        <x:v>46280</x:v>
      </x:c>
      <x:c r="B44" s="36" t="str">
        <x:v>EMP-002</x:v>
      </x:c>
      <x:c r="C44" s="54" t="str">
        <x:f>IFERROR(VLOOKUP(B44,Employees!$A$4:$K$9,2,FALSE),"")</x:f>
        <x:v>Liam Chen</x:v>
      </x:c>
      <x:c r="D44" s="54" t="str">
        <x:f>TEXT(A44,"dddd")</x:f>
        <x:v>Tuesday</x:v>
      </x:c>
      <x:c r="E44" s="56" t="n">
        <x:f>IFERROR(VLOOKUP(D44,'Work Schedule'!$A$4:$F$10,2,FALSE),"")</x:f>
        <x:v>0.3333333333333333</x:v>
      </x:c>
      <x:c r="F44" s="56" t="n">
        <x:f>IFERROR(VLOOKUP(D44,'Work Schedule'!$A$4:$F$10,3,FALSE),"")</x:f>
        <x:v>0.7083333333333334</x:v>
      </x:c>
      <x:c r="G44" s="50" t="n">
        <x:v>0.3347222222222222</x:v>
      </x:c>
      <x:c r="H44" s="50" t="n">
        <x:v>0.7083333333333334</x:v>
      </x:c>
      <x:c r="I44" s="52" t="n">
        <x:v>1</x:v>
      </x:c>
      <x:c r="J44" s="36" t="str">
        <x:v>None</x:v>
      </x:c>
      <x:c r="K44" s="52" t="n">
        <x:v>0</x:v>
      </x:c>
      <x:c r="L44" s="58" t="n">
        <x:f>IFERROR(VLOOKUP(D44,'Work Schedule'!$A$4:$F$10,5,FALSE),0)</x:f>
        <x:v>8</x:v>
      </x:c>
      <x:c r="M44" s="46" t="n">
        <x:f>IF(OR(G44="",H44=""),0,ROUND(MAX(0,(H44-G44)*24-I44),2))</x:f>
        <x:v>7.97</x:v>
      </x:c>
      <x:c r="N44" s="60" t="n">
        <x:f>A44-WEEKDAY(A44,2)+1</x:f>
        <x:v>46279</x:v>
      </x:c>
      <x:c r="O44" s="58" t="n">
        <x:f>ROUND(SUMIFS($M$4:$M$400,$B$4:$B$400,B44,$N$4:$N$400,N44,$A$4:$A$400,"&lt;="&amp;A44),2)</x:f>
        <x:v>16.02</x:v>
      </x:c>
      <x:c r="P44" s="46" t="n">
        <x:f>ROUND(MAX(0,M44-Q44),2)</x:f>
        <x:v>7.97</x:v>
      </x:c>
      <x:c r="Q44" s="46" t="n">
        <x:f>ROUND(MAX(0,O44-Settings!$B$13)-MAX(0,O44-M44-Settings!$B$13),2)</x:f>
        <x:v>0</x:v>
      </x:c>
      <x:c r="R44" s="46" t="n">
        <x:f>ROUND(M44+K44-L44,2)</x:f>
        <x:v>-0.03</x:v>
      </x:c>
      <x:c r="S44" t="str">
        <x:f>IF(B44="","",IF(J44&lt;&gt;"None",J44,IF(Q44&gt;0,"Overtime",IF(G44&gt;E44,"Late",IF(H44&lt;F44,"Left Early","On Time")))))</x:f>
        <x:v>Late</x:v>
      </x:c>
      <x:c r="T44" s="36" t="str"/>
    </x:row>
    <x:row r="45">
      <x:c r="A45" s="37" t="n">
        <x:v>46281</x:v>
      </x:c>
      <x:c r="B45" s="36" t="str">
        <x:v>EMP-002</x:v>
      </x:c>
      <x:c r="C45" s="54" t="str">
        <x:f>IFERROR(VLOOKUP(B45,Employees!$A$4:$K$9,2,FALSE),"")</x:f>
        <x:v>Liam Chen</x:v>
      </x:c>
      <x:c r="D45" s="54" t="str">
        <x:f>TEXT(A45,"dddd")</x:f>
        <x:v>Wednesday</x:v>
      </x:c>
      <x:c r="E45" s="56" t="n">
        <x:f>IFERROR(VLOOKUP(D45,'Work Schedule'!$A$4:$F$10,2,FALSE),"")</x:f>
        <x:v>0.3333333333333333</x:v>
      </x:c>
      <x:c r="F45" s="56" t="n">
        <x:f>IFERROR(VLOOKUP(D45,'Work Schedule'!$A$4:$F$10,3,FALSE),"")</x:f>
        <x:v>0.7083333333333334</x:v>
      </x:c>
      <x:c r="G45" s="50" t="n">
        <x:v>0.3347222222222222</x:v>
      </x:c>
      <x:c r="H45" s="50" t="n">
        <x:v>0.7111111111111111</x:v>
      </x:c>
      <x:c r="I45" s="52" t="n">
        <x:v>1</x:v>
      </x:c>
      <x:c r="J45" s="36" t="str">
        <x:v>None</x:v>
      </x:c>
      <x:c r="K45" s="52" t="n">
        <x:v>0</x:v>
      </x:c>
      <x:c r="L45" s="58" t="n">
        <x:f>IFERROR(VLOOKUP(D45,'Work Schedule'!$A$4:$F$10,5,FALSE),0)</x:f>
        <x:v>8</x:v>
      </x:c>
      <x:c r="M45" s="46" t="n">
        <x:f>IF(OR(G45="",H45=""),0,ROUND(MAX(0,(H45-G45)*24-I45),2))</x:f>
        <x:v>8.03</x:v>
      </x:c>
      <x:c r="N45" s="60" t="n">
        <x:f>A45-WEEKDAY(A45,2)+1</x:f>
        <x:v>46279</x:v>
      </x:c>
      <x:c r="O45" s="58" t="n">
        <x:f>ROUND(SUMIFS($M$4:$M$400,$B$4:$B$400,B45,$N$4:$N$400,N45,$A$4:$A$400,"&lt;="&amp;A45),2)</x:f>
        <x:v>24.05</x:v>
      </x:c>
      <x:c r="P45" s="46" t="n">
        <x:f>ROUND(MAX(0,M45-Q45),2)</x:f>
        <x:v>8.03</x:v>
      </x:c>
      <x:c r="Q45" s="46" t="n">
        <x:f>ROUND(MAX(0,O45-Settings!$B$13)-MAX(0,O45-M45-Settings!$B$13),2)</x:f>
        <x:v>0</x:v>
      </x:c>
      <x:c r="R45" s="46" t="n">
        <x:f>ROUND(M45+K45-L45,2)</x:f>
        <x:v>0.03</x:v>
      </x:c>
      <x:c r="S45" t="str">
        <x:f>IF(B45="","",IF(J45&lt;&gt;"None",J45,IF(Q45&gt;0,"Overtime",IF(G45&gt;E45,"Late",IF(H45&lt;F45,"Left Early","On Time")))))</x:f>
        <x:v>Late</x:v>
      </x:c>
      <x:c r="T45" s="36" t="str"/>
    </x:row>
    <x:row r="46">
      <x:c r="A46" s="37" t="n">
        <x:v>46282</x:v>
      </x:c>
      <x:c r="B46" s="36" t="str">
        <x:v>EMP-002</x:v>
      </x:c>
      <x:c r="C46" s="54" t="str">
        <x:f>IFERROR(VLOOKUP(B46,Employees!$A$4:$K$9,2,FALSE),"")</x:f>
        <x:v>Liam Chen</x:v>
      </x:c>
      <x:c r="D46" s="54" t="str">
        <x:f>TEXT(A46,"dddd")</x:f>
        <x:v>Thursday</x:v>
      </x:c>
      <x:c r="E46" s="56" t="n">
        <x:f>IFERROR(VLOOKUP(D46,'Work Schedule'!$A$4:$F$10,2,FALSE),"")</x:f>
        <x:v>0.3333333333333333</x:v>
      </x:c>
      <x:c r="F46" s="56" t="n">
        <x:f>IFERROR(VLOOKUP(D46,'Work Schedule'!$A$4:$F$10,3,FALSE),"")</x:f>
        <x:v>0.7083333333333334</x:v>
      </x:c>
      <x:c r="G46" s="50" t="n">
        <x:v>0.3333333333333333</x:v>
      </x:c>
      <x:c r="H46" s="50" t="n">
        <x:v>0.7076388888888889</x:v>
      </x:c>
      <x:c r="I46" s="52" t="n">
        <x:v>1</x:v>
      </x:c>
      <x:c r="J46" s="36" t="str">
        <x:v>None</x:v>
      </x:c>
      <x:c r="K46" s="52" t="n">
        <x:v>0</x:v>
      </x:c>
      <x:c r="L46" s="58" t="n">
        <x:f>IFERROR(VLOOKUP(D46,'Work Schedule'!$A$4:$F$10,5,FALSE),0)</x:f>
        <x:v>8</x:v>
      </x:c>
      <x:c r="M46" s="46" t="n">
        <x:f>IF(OR(G46="",H46=""),0,ROUND(MAX(0,(H46-G46)*24-I46),2))</x:f>
        <x:v>7.98</x:v>
      </x:c>
      <x:c r="N46" s="60" t="n">
        <x:f>A46-WEEKDAY(A46,2)+1</x:f>
        <x:v>46279</x:v>
      </x:c>
      <x:c r="O46" s="58" t="n">
        <x:f>ROUND(SUMIFS($M$4:$M$400,$B$4:$B$400,B46,$N$4:$N$400,N46,$A$4:$A$400,"&lt;="&amp;A46),2)</x:f>
        <x:v>32.03</x:v>
      </x:c>
      <x:c r="P46" s="46" t="n">
        <x:f>ROUND(MAX(0,M46-Q46),2)</x:f>
        <x:v>7.98</x:v>
      </x:c>
      <x:c r="Q46" s="46" t="n">
        <x:f>ROUND(MAX(0,O46-Settings!$B$13)-MAX(0,O46-M46-Settings!$B$13),2)</x:f>
        <x:v>0</x:v>
      </x:c>
      <x:c r="R46" s="46" t="n">
        <x:f>ROUND(M46+K46-L46,2)</x:f>
        <x:v>-0.02</x:v>
      </x:c>
      <x:c r="S46" t="str">
        <x:f>IF(B46="","",IF(J46&lt;&gt;"None",J46,IF(Q46&gt;0,"Overtime",IF(G46&gt;E46,"Late",IF(H46&lt;F46,"Left Early","On Time")))))</x:f>
        <x:v>Left Early</x:v>
      </x:c>
      <x:c r="T46" s="36" t="str"/>
    </x:row>
    <x:row r="47">
      <x:c r="A47" s="37" t="n">
        <x:v>46283</x:v>
      </x:c>
      <x:c r="B47" s="36" t="str">
        <x:v>EMP-002</x:v>
      </x:c>
      <x:c r="C47" s="54" t="str">
        <x:f>IFERROR(VLOOKUP(B47,Employees!$A$4:$K$9,2,FALSE),"")</x:f>
        <x:v>Liam Chen</x:v>
      </x:c>
      <x:c r="D47" s="54" t="str">
        <x:f>TEXT(A47,"dddd")</x:f>
        <x:v>Friday</x:v>
      </x:c>
      <x:c r="E47" s="56" t="n">
        <x:f>IFERROR(VLOOKUP(D47,'Work Schedule'!$A$4:$F$10,2,FALSE),"")</x:f>
        <x:v>0.3333333333333333</x:v>
      </x:c>
      <x:c r="F47" s="56" t="n">
        <x:f>IFERROR(VLOOKUP(D47,'Work Schedule'!$A$4:$F$10,3,FALSE),"")</x:f>
        <x:v>0.7083333333333334</x:v>
      </x:c>
      <x:c r="G47" s="50"/>
      <x:c r="H47" s="50"/>
      <x:c r="I47" s="52" t="n">
        <x:v>0</x:v>
      </x:c>
      <x:c r="J47" s="36" t="str">
        <x:v>Unpaid Leave</x:v>
      </x:c>
      <x:c r="K47" s="52" t="n">
        <x:v>8</x:v>
      </x:c>
      <x:c r="L47" s="58" t="n">
        <x:f>IFERROR(VLOOKUP(D47,'Work Schedule'!$A$4:$F$10,5,FALSE),0)</x:f>
        <x:v>8</x:v>
      </x:c>
      <x:c r="M47" s="46" t="n">
        <x:f>IF(OR(G47="",H47=""),0,ROUND(MAX(0,(H47-G47)*24-I47),2))</x:f>
        <x:v>0</x:v>
      </x:c>
      <x:c r="N47" s="60" t="n">
        <x:f>A47-WEEKDAY(A47,2)+1</x:f>
        <x:v>46279</x:v>
      </x:c>
      <x:c r="O47" s="58" t="n">
        <x:f>ROUND(SUMIFS($M$4:$M$400,$B$4:$B$400,B47,$N$4:$N$400,N47,$A$4:$A$400,"&lt;="&amp;A47),2)</x:f>
        <x:v>32.03</x:v>
      </x:c>
      <x:c r="P47" s="46" t="n">
        <x:f>ROUND(MAX(0,M47-Q47),2)</x:f>
        <x:v>0</x:v>
      </x:c>
      <x:c r="Q47" s="46" t="n">
        <x:f>ROUND(MAX(0,O47-Settings!$B$13)-MAX(0,O47-M47-Settings!$B$13),2)</x:f>
        <x:v>0</x:v>
      </x:c>
      <x:c r="R47" s="46" t="n">
        <x:f>ROUND(M47+K47-L47,2)</x:f>
        <x:v>0</x:v>
      </x:c>
      <x:c r="S47" t="str">
        <x:f>IF(B47="","",IF(J47&lt;&gt;"None",J47,IF(Q47&gt;0,"Overtime",IF(G47&gt;E47,"Late",IF(H47&lt;F47,"Left Early","On Time")))))</x:f>
        <x:v>Unpaid Leave</x:v>
      </x:c>
      <x:c r="T47" s="36" t="str">
        <x:v>Approved full-day unpaid personal leave.</x:v>
      </x:c>
    </x:row>
    <x:row r="48">
      <x:c r="A48" s="37" t="n">
        <x:v>46284</x:v>
      </x:c>
      <x:c r="B48" s="36" t="str">
        <x:v>EMP-002</x:v>
      </x:c>
      <x:c r="C48" s="54" t="str">
        <x:f>IFERROR(VLOOKUP(B48,Employees!$A$4:$K$9,2,FALSE),"")</x:f>
        <x:v>Liam Chen</x:v>
      </x:c>
      <x:c r="D48" s="54" t="str">
        <x:f>TEXT(A48,"dddd")</x:f>
        <x:v>Saturday</x:v>
      </x:c>
      <x:c r="E48" s="56" t="n">
        <x:f>IFERROR(VLOOKUP(D48,'Work Schedule'!$A$4:$F$10,2,FALSE),"")</x:f>
        <x:v>0.3333333333333333</x:v>
      </x:c>
      <x:c r="F48" s="56" t="n">
        <x:f>IFERROR(VLOOKUP(D48,'Work Schedule'!$A$4:$F$10,3,FALSE),"")</x:f>
        <x:v>0.5833333333333334</x:v>
      </x:c>
      <x:c r="G48" s="50" t="n">
        <x:v>0.3333333333333333</x:v>
      </x:c>
      <x:c r="H48" s="50" t="n">
        <x:v>0.5847222222222223</x:v>
      </x:c>
      <x:c r="I48" s="52" t="n">
        <x:v>1</x:v>
      </x:c>
      <x:c r="J48" s="36" t="str">
        <x:v>None</x:v>
      </x:c>
      <x:c r="K48" s="52" t="n">
        <x:v>0</x:v>
      </x:c>
      <x:c r="L48" s="58" t="n">
        <x:f>IFERROR(VLOOKUP(D48,'Work Schedule'!$A$4:$F$10,5,FALSE),0)</x:f>
        <x:v>5</x:v>
      </x:c>
      <x:c r="M48" s="46" t="n">
        <x:f>IF(OR(G48="",H48=""),0,ROUND(MAX(0,(H48-G48)*24-I48),2))</x:f>
        <x:v>5.03</x:v>
      </x:c>
      <x:c r="N48" s="60" t="n">
        <x:f>A48-WEEKDAY(A48,2)+1</x:f>
        <x:v>46279</x:v>
      </x:c>
      <x:c r="O48" s="58" t="n">
        <x:f>ROUND(SUMIFS($M$4:$M$400,$B$4:$B$400,B48,$N$4:$N$400,N48,$A$4:$A$400,"&lt;="&amp;A48),2)</x:f>
        <x:v>37.06</x:v>
      </x:c>
      <x:c r="P48" s="46" t="n">
        <x:f>ROUND(MAX(0,M48-Q48),2)</x:f>
        <x:v>5.03</x:v>
      </x:c>
      <x:c r="Q48" s="46" t="n">
        <x:f>ROUND(MAX(0,O48-Settings!$B$13)-MAX(0,O48-M48-Settings!$B$13),2)</x:f>
        <x:v>0</x:v>
      </x:c>
      <x:c r="R48" s="46" t="n">
        <x:f>ROUND(M48+K48-L48,2)</x:f>
        <x:v>0.03</x:v>
      </x:c>
      <x:c r="S48" t="str">
        <x:f>IF(B48="","",IF(J48&lt;&gt;"None",J48,IF(Q48&gt;0,"Overtime",IF(G48&gt;E48,"Late",IF(H48&lt;F48,"Left Early","On Time")))))</x:f>
        <x:v>On Time</x:v>
      </x:c>
      <x:c r="T48" s="36" t="str"/>
    </x:row>
    <x:row r="49">
      <x:c r="A49" s="37" t="n">
        <x:v>46286</x:v>
      </x:c>
      <x:c r="B49" s="36" t="str">
        <x:v>EMP-002</x:v>
      </x:c>
      <x:c r="C49" s="54" t="str">
        <x:f>IFERROR(VLOOKUP(B49,Employees!$A$4:$K$9,2,FALSE),"")</x:f>
        <x:v>Liam Chen</x:v>
      </x:c>
      <x:c r="D49" s="54" t="str">
        <x:f>TEXT(A49,"dddd")</x:f>
        <x:v>Monday</x:v>
      </x:c>
      <x:c r="E49" s="56" t="n">
        <x:f>IFERROR(VLOOKUP(D49,'Work Schedule'!$A$4:$F$10,2,FALSE),"")</x:f>
        <x:v>0.3333333333333333</x:v>
      </x:c>
      <x:c r="F49" s="56" t="n">
        <x:f>IFERROR(VLOOKUP(D49,'Work Schedule'!$A$4:$F$10,3,FALSE),"")</x:f>
        <x:v>0.7083333333333334</x:v>
      </x:c>
      <x:c r="G49" s="50" t="n">
        <x:v>0.33194444444444443</x:v>
      </x:c>
      <x:c r="H49" s="50" t="n">
        <x:v>0.7125</x:v>
      </x:c>
      <x:c r="I49" s="52" t="n">
        <x:v>1</x:v>
      </x:c>
      <x:c r="J49" s="36" t="str">
        <x:v>None</x:v>
      </x:c>
      <x:c r="K49" s="52" t="n">
        <x:v>0</x:v>
      </x:c>
      <x:c r="L49" s="58" t="n">
        <x:f>IFERROR(VLOOKUP(D49,'Work Schedule'!$A$4:$F$10,5,FALSE),0)</x:f>
        <x:v>8</x:v>
      </x:c>
      <x:c r="M49" s="46" t="n">
        <x:f>IF(OR(G49="",H49=""),0,ROUND(MAX(0,(H49-G49)*24-I49),2))</x:f>
        <x:v>8.13</x:v>
      </x:c>
      <x:c r="N49" s="60" t="n">
        <x:f>A49-WEEKDAY(A49,2)+1</x:f>
        <x:v>46286</x:v>
      </x:c>
      <x:c r="O49" s="58" t="n">
        <x:f>ROUND(SUMIFS($M$4:$M$400,$B$4:$B$400,B49,$N$4:$N$400,N49,$A$4:$A$400,"&lt;="&amp;A49),2)</x:f>
        <x:v>8.13</x:v>
      </x:c>
      <x:c r="P49" s="46" t="n">
        <x:f>ROUND(MAX(0,M49-Q49),2)</x:f>
        <x:v>8.13</x:v>
      </x:c>
      <x:c r="Q49" s="46" t="n">
        <x:f>ROUND(MAX(0,O49-Settings!$B$13)-MAX(0,O49-M49-Settings!$B$13),2)</x:f>
        <x:v>0</x:v>
      </x:c>
      <x:c r="R49" s="46" t="n">
        <x:f>ROUND(M49+K49-L49,2)</x:f>
        <x:v>0.13</x:v>
      </x:c>
      <x:c r="S49" t="str">
        <x:f>IF(B49="","",IF(J49&lt;&gt;"None",J49,IF(Q49&gt;0,"Overtime",IF(G49&gt;E49,"Late",IF(H49&lt;F49,"Left Early","On Time")))))</x:f>
        <x:v>On Time</x:v>
      </x:c>
      <x:c r="T49" s="36" t="str"/>
    </x:row>
    <x:row r="50">
      <x:c r="A50" s="37" t="n">
        <x:v>46287</x:v>
      </x:c>
      <x:c r="B50" s="36" t="str">
        <x:v>EMP-002</x:v>
      </x:c>
      <x:c r="C50" s="54" t="str">
        <x:f>IFERROR(VLOOKUP(B50,Employees!$A$4:$K$9,2,FALSE),"")</x:f>
        <x:v>Liam Chen</x:v>
      </x:c>
      <x:c r="D50" s="54" t="str">
        <x:f>TEXT(A50,"dddd")</x:f>
        <x:v>Tuesday</x:v>
      </x:c>
      <x:c r="E50" s="56" t="n">
        <x:f>IFERROR(VLOOKUP(D50,'Work Schedule'!$A$4:$F$10,2,FALSE),"")</x:f>
        <x:v>0.3333333333333333</x:v>
      </x:c>
      <x:c r="F50" s="56" t="n">
        <x:f>IFERROR(VLOOKUP(D50,'Work Schedule'!$A$4:$F$10,3,FALSE),"")</x:f>
        <x:v>0.7083333333333334</x:v>
      </x:c>
      <x:c r="G50" s="50" t="n">
        <x:v>0.33402777777777776</x:v>
      </x:c>
      <x:c r="H50" s="50" t="n">
        <x:v>0.7111111111111111</x:v>
      </x:c>
      <x:c r="I50" s="52" t="n">
        <x:v>1</x:v>
      </x:c>
      <x:c r="J50" s="36" t="str">
        <x:v>None</x:v>
      </x:c>
      <x:c r="K50" s="52" t="n">
        <x:v>0</x:v>
      </x:c>
      <x:c r="L50" s="58" t="n">
        <x:f>IFERROR(VLOOKUP(D50,'Work Schedule'!$A$4:$F$10,5,FALSE),0)</x:f>
        <x:v>8</x:v>
      </x:c>
      <x:c r="M50" s="46" t="n">
        <x:f>IF(OR(G50="",H50=""),0,ROUND(MAX(0,(H50-G50)*24-I50),2))</x:f>
        <x:v>8.05</x:v>
      </x:c>
      <x:c r="N50" s="60" t="n">
        <x:f>A50-WEEKDAY(A50,2)+1</x:f>
        <x:v>46286</x:v>
      </x:c>
      <x:c r="O50" s="58" t="n">
        <x:f>ROUND(SUMIFS($M$4:$M$400,$B$4:$B$400,B50,$N$4:$N$400,N50,$A$4:$A$400,"&lt;="&amp;A50),2)</x:f>
        <x:v>16.18</x:v>
      </x:c>
      <x:c r="P50" s="46" t="n">
        <x:f>ROUND(MAX(0,M50-Q50),2)</x:f>
        <x:v>8.05</x:v>
      </x:c>
      <x:c r="Q50" s="46" t="n">
        <x:f>ROUND(MAX(0,O50-Settings!$B$13)-MAX(0,O50-M50-Settings!$B$13),2)</x:f>
        <x:v>0</x:v>
      </x:c>
      <x:c r="R50" s="46" t="n">
        <x:f>ROUND(M50+K50-L50,2)</x:f>
        <x:v>0.05</x:v>
      </x:c>
      <x:c r="S50" t="str">
        <x:f>IF(B50="","",IF(J50&lt;&gt;"None",J50,IF(Q50&gt;0,"Overtime",IF(G50&gt;E50,"Late",IF(H50&lt;F50,"Left Early","On Time")))))</x:f>
        <x:v>Late</x:v>
      </x:c>
      <x:c r="T50" s="36" t="str"/>
    </x:row>
    <x:row r="51">
      <x:c r="A51" s="37" t="n">
        <x:v>46288</x:v>
      </x:c>
      <x:c r="B51" s="36" t="str">
        <x:v>EMP-002</x:v>
      </x:c>
      <x:c r="C51" s="54" t="str">
        <x:f>IFERROR(VLOOKUP(B51,Employees!$A$4:$K$9,2,FALSE),"")</x:f>
        <x:v>Liam Chen</x:v>
      </x:c>
      <x:c r="D51" s="54" t="str">
        <x:f>TEXT(A51,"dddd")</x:f>
        <x:v>Wednesday</x:v>
      </x:c>
      <x:c r="E51" s="56" t="n">
        <x:f>IFERROR(VLOOKUP(D51,'Work Schedule'!$A$4:$F$10,2,FALSE),"")</x:f>
        <x:v>0.3333333333333333</x:v>
      </x:c>
      <x:c r="F51" s="56" t="n">
        <x:f>IFERROR(VLOOKUP(D51,'Work Schedule'!$A$4:$F$10,3,FALSE),"")</x:f>
        <x:v>0.7083333333333334</x:v>
      </x:c>
      <x:c r="G51" s="50" t="n">
        <x:v>0.3326388888888889</x:v>
      </x:c>
      <x:c r="H51" s="50" t="n">
        <x:v>0.7090277777777778</x:v>
      </x:c>
      <x:c r="I51" s="52" t="n">
        <x:v>1</x:v>
      </x:c>
      <x:c r="J51" s="36" t="str">
        <x:v>None</x:v>
      </x:c>
      <x:c r="K51" s="52" t="n">
        <x:v>0</x:v>
      </x:c>
      <x:c r="L51" s="58" t="n">
        <x:f>IFERROR(VLOOKUP(D51,'Work Schedule'!$A$4:$F$10,5,FALSE),0)</x:f>
        <x:v>8</x:v>
      </x:c>
      <x:c r="M51" s="46" t="n">
        <x:f>IF(OR(G51="",H51=""),0,ROUND(MAX(0,(H51-G51)*24-I51),2))</x:f>
        <x:v>8.03</x:v>
      </x:c>
      <x:c r="N51" s="60" t="n">
        <x:f>A51-WEEKDAY(A51,2)+1</x:f>
        <x:v>46286</x:v>
      </x:c>
      <x:c r="O51" s="58" t="n">
        <x:f>ROUND(SUMIFS($M$4:$M$400,$B$4:$B$400,B51,$N$4:$N$400,N51,$A$4:$A$400,"&lt;="&amp;A51),2)</x:f>
        <x:v>24.21</x:v>
      </x:c>
      <x:c r="P51" s="46" t="n">
        <x:f>ROUND(MAX(0,M51-Q51),2)</x:f>
        <x:v>8.03</x:v>
      </x:c>
      <x:c r="Q51" s="46" t="n">
        <x:f>ROUND(MAX(0,O51-Settings!$B$13)-MAX(0,O51-M51-Settings!$B$13),2)</x:f>
        <x:v>0</x:v>
      </x:c>
      <x:c r="R51" s="46" t="n">
        <x:f>ROUND(M51+K51-L51,2)</x:f>
        <x:v>0.03</x:v>
      </x:c>
      <x:c r="S51" t="str">
        <x:f>IF(B51="","",IF(J51&lt;&gt;"None",J51,IF(Q51&gt;0,"Overtime",IF(G51&gt;E51,"Late",IF(H51&lt;F51,"Left Early","On Time")))))</x:f>
        <x:v>On Time</x:v>
      </x:c>
      <x:c r="T51" s="36" t="str"/>
    </x:row>
    <x:row r="52">
      <x:c r="A52" s="37" t="n">
        <x:v>46289</x:v>
      </x:c>
      <x:c r="B52" s="36" t="str">
        <x:v>EMP-002</x:v>
      </x:c>
      <x:c r="C52" s="54" t="str">
        <x:f>IFERROR(VLOOKUP(B52,Employees!$A$4:$K$9,2,FALSE),"")</x:f>
        <x:v>Liam Chen</x:v>
      </x:c>
      <x:c r="D52" s="54" t="str">
        <x:f>TEXT(A52,"dddd")</x:f>
        <x:v>Thursday</x:v>
      </x:c>
      <x:c r="E52" s="56" t="n">
        <x:f>IFERROR(VLOOKUP(D52,'Work Schedule'!$A$4:$F$10,2,FALSE),"")</x:f>
        <x:v>0.3333333333333333</x:v>
      </x:c>
      <x:c r="F52" s="56" t="n">
        <x:f>IFERROR(VLOOKUP(D52,'Work Schedule'!$A$4:$F$10,3,FALSE),"")</x:f>
        <x:v>0.7083333333333334</x:v>
      </x:c>
      <x:c r="G52" s="50" t="n">
        <x:v>0.3347222222222222</x:v>
      </x:c>
      <x:c r="H52" s="50" t="n">
        <x:v>0.7125</x:v>
      </x:c>
      <x:c r="I52" s="52" t="n">
        <x:v>1</x:v>
      </x:c>
      <x:c r="J52" s="36" t="str">
        <x:v>None</x:v>
      </x:c>
      <x:c r="K52" s="52" t="n">
        <x:v>0</x:v>
      </x:c>
      <x:c r="L52" s="58" t="n">
        <x:f>IFERROR(VLOOKUP(D52,'Work Schedule'!$A$4:$F$10,5,FALSE),0)</x:f>
        <x:v>8</x:v>
      </x:c>
      <x:c r="M52" s="46" t="n">
        <x:f>IF(OR(G52="",H52=""),0,ROUND(MAX(0,(H52-G52)*24-I52),2))</x:f>
        <x:v>8.07</x:v>
      </x:c>
      <x:c r="N52" s="60" t="n">
        <x:f>A52-WEEKDAY(A52,2)+1</x:f>
        <x:v>46286</x:v>
      </x:c>
      <x:c r="O52" s="58" t="n">
        <x:f>ROUND(SUMIFS($M$4:$M$400,$B$4:$B$400,B52,$N$4:$N$400,N52,$A$4:$A$400,"&lt;="&amp;A52),2)</x:f>
        <x:v>32.28</x:v>
      </x:c>
      <x:c r="P52" s="46" t="n">
        <x:f>ROUND(MAX(0,M52-Q52),2)</x:f>
        <x:v>8.07</x:v>
      </x:c>
      <x:c r="Q52" s="46" t="n">
        <x:f>ROUND(MAX(0,O52-Settings!$B$13)-MAX(0,O52-M52-Settings!$B$13),2)</x:f>
        <x:v>0</x:v>
      </x:c>
      <x:c r="R52" s="46" t="n">
        <x:f>ROUND(M52+K52-L52,2)</x:f>
        <x:v>0.07</x:v>
      </x:c>
      <x:c r="S52" t="str">
        <x:f>IF(B52="","",IF(J52&lt;&gt;"None",J52,IF(Q52&gt;0,"Overtime",IF(G52&gt;E52,"Late",IF(H52&lt;F52,"Left Early","On Time")))))</x:f>
        <x:v>Late</x:v>
      </x:c>
      <x:c r="T52" s="36" t="str">
        <x:v>Arrived 2 minutes late.</x:v>
      </x:c>
    </x:row>
    <x:row r="53">
      <x:c r="A53" s="37" t="n">
        <x:v>46290</x:v>
      </x:c>
      <x:c r="B53" s="36" t="str">
        <x:v>EMP-002</x:v>
      </x:c>
      <x:c r="C53" s="54" t="str">
        <x:f>IFERROR(VLOOKUP(B53,Employees!$A$4:$K$9,2,FALSE),"")</x:f>
        <x:v>Liam Chen</x:v>
      </x:c>
      <x:c r="D53" s="54" t="str">
        <x:f>TEXT(A53,"dddd")</x:f>
        <x:v>Friday</x:v>
      </x:c>
      <x:c r="E53" s="56" t="n">
        <x:f>IFERROR(VLOOKUP(D53,'Work Schedule'!$A$4:$F$10,2,FALSE),"")</x:f>
        <x:v>0.3333333333333333</x:v>
      </x:c>
      <x:c r="F53" s="56" t="n">
        <x:f>IFERROR(VLOOKUP(D53,'Work Schedule'!$A$4:$F$10,3,FALSE),"")</x:f>
        <x:v>0.7083333333333334</x:v>
      </x:c>
      <x:c r="G53" s="50" t="n">
        <x:v>0.33402777777777776</x:v>
      </x:c>
      <x:c r="H53" s="50" t="n">
        <x:v>0.7069444444444445</x:v>
      </x:c>
      <x:c r="I53" s="52" t="n">
        <x:v>1</x:v>
      </x:c>
      <x:c r="J53" s="36" t="str">
        <x:v>None</x:v>
      </x:c>
      <x:c r="K53" s="52" t="n">
        <x:v>0</x:v>
      </x:c>
      <x:c r="L53" s="58" t="n">
        <x:f>IFERROR(VLOOKUP(D53,'Work Schedule'!$A$4:$F$10,5,FALSE),0)</x:f>
        <x:v>8</x:v>
      </x:c>
      <x:c r="M53" s="46" t="n">
        <x:f>IF(OR(G53="",H53=""),0,ROUND(MAX(0,(H53-G53)*24-I53),2))</x:f>
        <x:v>7.95</x:v>
      </x:c>
      <x:c r="N53" s="60" t="n">
        <x:f>A53-WEEKDAY(A53,2)+1</x:f>
        <x:v>46286</x:v>
      </x:c>
      <x:c r="O53" s="58" t="n">
        <x:f>ROUND(SUMIFS($M$4:$M$400,$B$4:$B$400,B53,$N$4:$N$400,N53,$A$4:$A$400,"&lt;="&amp;A53),2)</x:f>
        <x:v>40.23</x:v>
      </x:c>
      <x:c r="P53" s="46" t="n">
        <x:f>ROUND(MAX(0,M53-Q53),2)</x:f>
        <x:v>7.95</x:v>
      </x:c>
      <x:c r="Q53" s="46" t="n">
        <x:f>ROUND(MAX(0,O53-Settings!$B$13)-MAX(0,O53-M53-Settings!$B$13),2)</x:f>
        <x:v>0</x:v>
      </x:c>
      <x:c r="R53" s="46" t="n">
        <x:f>ROUND(M53+K53-L53,2)</x:f>
        <x:v>-0.05</x:v>
      </x:c>
      <x:c r="S53" t="str">
        <x:f>IF(B53="","",IF(J53&lt;&gt;"None",J53,IF(Q53&gt;0,"Overtime",IF(G53&gt;E53,"Late",IF(H53&lt;F53,"Left Early","On Time")))))</x:f>
        <x:v>Late</x:v>
      </x:c>
      <x:c r="T53" s="36" t="str"/>
    </x:row>
    <x:row r="54">
      <x:c r="A54" s="37" t="n">
        <x:v>46291</x:v>
      </x:c>
      <x:c r="B54" s="36" t="str">
        <x:v>EMP-002</x:v>
      </x:c>
      <x:c r="C54" s="54" t="str">
        <x:f>IFERROR(VLOOKUP(B54,Employees!$A$4:$K$9,2,FALSE),"")</x:f>
        <x:v>Liam Chen</x:v>
      </x:c>
      <x:c r="D54" s="54" t="str">
        <x:f>TEXT(A54,"dddd")</x:f>
        <x:v>Saturday</x:v>
      </x:c>
      <x:c r="E54" s="56" t="n">
        <x:f>IFERROR(VLOOKUP(D54,'Work Schedule'!$A$4:$F$10,2,FALSE),"")</x:f>
        <x:v>0.3333333333333333</x:v>
      </x:c>
      <x:c r="F54" s="56" t="n">
        <x:f>IFERROR(VLOOKUP(D54,'Work Schedule'!$A$4:$F$10,3,FALSE),"")</x:f>
        <x:v>0.5833333333333334</x:v>
      </x:c>
      <x:c r="G54" s="50" t="n">
        <x:v>0.3333333333333333</x:v>
      </x:c>
      <x:c r="H54" s="50" t="n">
        <x:v>0.5861111111111111</x:v>
      </x:c>
      <x:c r="I54" s="52" t="n">
        <x:v>1</x:v>
      </x:c>
      <x:c r="J54" s="36" t="str">
        <x:v>None</x:v>
      </x:c>
      <x:c r="K54" s="52" t="n">
        <x:v>0</x:v>
      </x:c>
      <x:c r="L54" s="58" t="n">
        <x:f>IFERROR(VLOOKUP(D54,'Work Schedule'!$A$4:$F$10,5,FALSE),0)</x:f>
        <x:v>5</x:v>
      </x:c>
      <x:c r="M54" s="46" t="n">
        <x:f>IF(OR(G54="",H54=""),0,ROUND(MAX(0,(H54-G54)*24-I54),2))</x:f>
        <x:v>5.07</x:v>
      </x:c>
      <x:c r="N54" s="60" t="n">
        <x:f>A54-WEEKDAY(A54,2)+1</x:f>
        <x:v>46286</x:v>
      </x:c>
      <x:c r="O54" s="58" t="n">
        <x:f>ROUND(SUMIFS($M$4:$M$400,$B$4:$B$400,B54,$N$4:$N$400,N54,$A$4:$A$400,"&lt;="&amp;A54),2)</x:f>
        <x:v>45.3</x:v>
      </x:c>
      <x:c r="P54" s="46" t="n">
        <x:f>ROUND(MAX(0,M54-Q54),2)</x:f>
        <x:v>3.77</x:v>
      </x:c>
      <x:c r="Q54" s="46" t="n">
        <x:f>ROUND(MAX(0,O54-Settings!$B$13)-MAX(0,O54-M54-Settings!$B$13),2)</x:f>
        <x:v>1.3</x:v>
      </x:c>
      <x:c r="R54" s="46" t="n">
        <x:f>ROUND(M54+K54-L54,2)</x:f>
        <x:v>0.07</x:v>
      </x:c>
      <x:c r="S54" t="str">
        <x:f>IF(B54="","",IF(J54&lt;&gt;"None",J54,IF(Q54&gt;0,"Overtime",IF(G54&gt;E54,"Late",IF(H54&lt;F54,"Left Early","On Time")))))</x:f>
        <x:v>Overtime</x:v>
      </x:c>
      <x:c r="T54" s="36" t="str"/>
    </x:row>
    <x:row r="55">
      <x:c r="A55" s="37" t="n">
        <x:v>46293</x:v>
      </x:c>
      <x:c r="B55" s="36" t="str">
        <x:v>EMP-002</x:v>
      </x:c>
      <x:c r="C55" s="54" t="str">
        <x:f>IFERROR(VLOOKUP(B55,Employees!$A$4:$K$9,2,FALSE),"")</x:f>
        <x:v>Liam Chen</x:v>
      </x:c>
      <x:c r="D55" s="54" t="str">
        <x:f>TEXT(A55,"dddd")</x:f>
        <x:v>Monday</x:v>
      </x:c>
      <x:c r="E55" s="56" t="n">
        <x:f>IFERROR(VLOOKUP(D55,'Work Schedule'!$A$4:$F$10,2,FALSE),"")</x:f>
        <x:v>0.3333333333333333</x:v>
      </x:c>
      <x:c r="F55" s="56" t="n">
        <x:f>IFERROR(VLOOKUP(D55,'Work Schedule'!$A$4:$F$10,3,FALSE),"")</x:f>
        <x:v>0.7083333333333334</x:v>
      </x:c>
      <x:c r="G55" s="50" t="n">
        <x:v>0.3347222222222222</x:v>
      </x:c>
      <x:c r="H55" s="50" t="n">
        <x:v>0.7097222222222223</x:v>
      </x:c>
      <x:c r="I55" s="52" t="n">
        <x:v>1</x:v>
      </x:c>
      <x:c r="J55" s="36" t="str">
        <x:v>None</x:v>
      </x:c>
      <x:c r="K55" s="52" t="n">
        <x:v>0</x:v>
      </x:c>
      <x:c r="L55" s="58" t="n">
        <x:f>IFERROR(VLOOKUP(D55,'Work Schedule'!$A$4:$F$10,5,FALSE),0)</x:f>
        <x:v>8</x:v>
      </x:c>
      <x:c r="M55" s="46" t="n">
        <x:f>IF(OR(G55="",H55=""),0,ROUND(MAX(0,(H55-G55)*24-I55),2))</x:f>
        <x:v>8</x:v>
      </x:c>
      <x:c r="N55" s="60" t="n">
        <x:f>A55-WEEKDAY(A55,2)+1</x:f>
        <x:v>46293</x:v>
      </x:c>
      <x:c r="O55" s="58" t="n">
        <x:f>ROUND(SUMIFS($M$4:$M$400,$B$4:$B$400,B55,$N$4:$N$400,N55,$A$4:$A$400,"&lt;="&amp;A55),2)</x:f>
        <x:v>8</x:v>
      </x:c>
      <x:c r="P55" s="46" t="n">
        <x:f>ROUND(MAX(0,M55-Q55),2)</x:f>
        <x:v>8</x:v>
      </x:c>
      <x:c r="Q55" s="46" t="n">
        <x:f>ROUND(MAX(0,O55-Settings!$B$13)-MAX(0,O55-M55-Settings!$B$13),2)</x:f>
        <x:v>0</x:v>
      </x:c>
      <x:c r="R55" s="46" t="n">
        <x:f>ROUND(M55+K55-L55,2)</x:f>
        <x:v>0</x:v>
      </x:c>
      <x:c r="S55" t="str">
        <x:f>IF(B55="","",IF(J55&lt;&gt;"None",J55,IF(Q55&gt;0,"Overtime",IF(G55&gt;E55,"Late",IF(H55&lt;F55,"Left Early","On Time")))))</x:f>
        <x:v>Late</x:v>
      </x:c>
      <x:c r="T55" s="36" t="str"/>
    </x:row>
    <x:row r="56">
      <x:c r="A56" s="37" t="n">
        <x:v>46294</x:v>
      </x:c>
      <x:c r="B56" s="36" t="str">
        <x:v>EMP-002</x:v>
      </x:c>
      <x:c r="C56" s="54" t="str">
        <x:f>IFERROR(VLOOKUP(B56,Employees!$A$4:$K$9,2,FALSE),"")</x:f>
        <x:v>Liam Chen</x:v>
      </x:c>
      <x:c r="D56" s="54" t="str">
        <x:f>TEXT(A56,"dddd")</x:f>
        <x:v>Tuesday</x:v>
      </x:c>
      <x:c r="E56" s="56" t="n">
        <x:f>IFERROR(VLOOKUP(D56,'Work Schedule'!$A$4:$F$10,2,FALSE),"")</x:f>
        <x:v>0.3333333333333333</x:v>
      </x:c>
      <x:c r="F56" s="56" t="n">
        <x:f>IFERROR(VLOOKUP(D56,'Work Schedule'!$A$4:$F$10,3,FALSE),"")</x:f>
        <x:v>0.7083333333333334</x:v>
      </x:c>
      <x:c r="G56" s="50" t="n">
        <x:v>0.33194444444444443</x:v>
      </x:c>
      <x:c r="H56" s="50" t="n">
        <x:v>0.7090277777777778</x:v>
      </x:c>
      <x:c r="I56" s="52" t="n">
        <x:v>1</x:v>
      </x:c>
      <x:c r="J56" s="36" t="str">
        <x:v>None</x:v>
      </x:c>
      <x:c r="K56" s="52" t="n">
        <x:v>0</x:v>
      </x:c>
      <x:c r="L56" s="58" t="n">
        <x:f>IFERROR(VLOOKUP(D56,'Work Schedule'!$A$4:$F$10,5,FALSE),0)</x:f>
        <x:v>8</x:v>
      </x:c>
      <x:c r="M56" s="46" t="n">
        <x:f>IF(OR(G56="",H56=""),0,ROUND(MAX(0,(H56-G56)*24-I56),2))</x:f>
        <x:v>8.05</x:v>
      </x:c>
      <x:c r="N56" s="60" t="n">
        <x:f>A56-WEEKDAY(A56,2)+1</x:f>
        <x:v>46293</x:v>
      </x:c>
      <x:c r="O56" s="58" t="n">
        <x:f>ROUND(SUMIFS($M$4:$M$400,$B$4:$B$400,B56,$N$4:$N$400,N56,$A$4:$A$400,"&lt;="&amp;A56),2)</x:f>
        <x:v>16.05</x:v>
      </x:c>
      <x:c r="P56" s="46" t="n">
        <x:f>ROUND(MAX(0,M56-Q56),2)</x:f>
        <x:v>8.05</x:v>
      </x:c>
      <x:c r="Q56" s="46" t="n">
        <x:f>ROUND(MAX(0,O56-Settings!$B$13)-MAX(0,O56-M56-Settings!$B$13),2)</x:f>
        <x:v>0</x:v>
      </x:c>
      <x:c r="R56" s="46" t="n">
        <x:f>ROUND(M56+K56-L56,2)</x:f>
        <x:v>0.05</x:v>
      </x:c>
      <x:c r="S56" t="str">
        <x:f>IF(B56="","",IF(J56&lt;&gt;"None",J56,IF(Q56&gt;0,"Overtime",IF(G56&gt;E56,"Late",IF(H56&lt;F56,"Left Early","On Time")))))</x:f>
        <x:v>On Time</x:v>
      </x:c>
      <x:c r="T56" s="36" t="str"/>
    </x:row>
    <x:row r="57">
      <x:c r="A57" s="37" t="n">
        <x:v>46295</x:v>
      </x:c>
      <x:c r="B57" s="36" t="str">
        <x:v>EMP-002</x:v>
      </x:c>
      <x:c r="C57" s="54" t="str">
        <x:f>IFERROR(VLOOKUP(B57,Employees!$A$4:$K$9,2,FALSE),"")</x:f>
        <x:v>Liam Chen</x:v>
      </x:c>
      <x:c r="D57" s="54" t="str">
        <x:f>TEXT(A57,"dddd")</x:f>
        <x:v>Wednesday</x:v>
      </x:c>
      <x:c r="E57" s="56" t="n">
        <x:f>IFERROR(VLOOKUP(D57,'Work Schedule'!$A$4:$F$10,2,FALSE),"")</x:f>
        <x:v>0.3333333333333333</x:v>
      </x:c>
      <x:c r="F57" s="56" t="n">
        <x:f>IFERROR(VLOOKUP(D57,'Work Schedule'!$A$4:$F$10,3,FALSE),"")</x:f>
        <x:v>0.7083333333333334</x:v>
      </x:c>
      <x:c r="G57" s="50" t="n">
        <x:v>0.33125</x:v>
      </x:c>
      <x:c r="H57" s="50" t="n">
        <x:v>0.7097222222222223</x:v>
      </x:c>
      <x:c r="I57" s="52" t="n">
        <x:v>1</x:v>
      </x:c>
      <x:c r="J57" s="36" t="str">
        <x:v>None</x:v>
      </x:c>
      <x:c r="K57" s="52" t="n">
        <x:v>0</x:v>
      </x:c>
      <x:c r="L57" s="58" t="n">
        <x:f>IFERROR(VLOOKUP(D57,'Work Schedule'!$A$4:$F$10,5,FALSE),0)</x:f>
        <x:v>8</x:v>
      </x:c>
      <x:c r="M57" s="46" t="n">
        <x:f>IF(OR(G57="",H57=""),0,ROUND(MAX(0,(H57-G57)*24-I57),2))</x:f>
        <x:v>8.08</x:v>
      </x:c>
      <x:c r="N57" s="60" t="n">
        <x:f>A57-WEEKDAY(A57,2)+1</x:f>
        <x:v>46293</x:v>
      </x:c>
      <x:c r="O57" s="58" t="n">
        <x:f>ROUND(SUMIFS($M$4:$M$400,$B$4:$B$400,B57,$N$4:$N$400,N57,$A$4:$A$400,"&lt;="&amp;A57),2)</x:f>
        <x:v>24.13</x:v>
      </x:c>
      <x:c r="P57" s="46" t="n">
        <x:f>ROUND(MAX(0,M57-Q57),2)</x:f>
        <x:v>8.08</x:v>
      </x:c>
      <x:c r="Q57" s="46" t="n">
        <x:f>ROUND(MAX(0,O57-Settings!$B$13)-MAX(0,O57-M57-Settings!$B$13),2)</x:f>
        <x:v>0</x:v>
      </x:c>
      <x:c r="R57" s="46" t="n">
        <x:f>ROUND(M57+K57-L57,2)</x:f>
        <x:v>0.08</x:v>
      </x:c>
      <x:c r="S57" t="str">
        <x:f>IF(B57="","",IF(J57&lt;&gt;"None",J57,IF(Q57&gt;0,"Overtime",IF(G57&gt;E57,"Late",IF(H57&lt;F57,"Left Early","On Time")))))</x:f>
        <x:v>On Time</x:v>
      </x:c>
      <x:c r="T57" s="36" t="str"/>
    </x:row>
    <x:row r="58">
      <x:c r="A58" s="37" t="n">
        <x:v>46265</x:v>
      </x:c>
      <x:c r="B58" s="36" t="str">
        <x:v>EMP-003</x:v>
      </x:c>
      <x:c r="C58" s="54" t="str">
        <x:f>IFERROR(VLOOKUP(B58,Employees!$A$4:$K$9,2,FALSE),"")</x:f>
        <x:v>Ava Patel</x:v>
      </x:c>
      <x:c r="D58" s="54" t="str">
        <x:f>TEXT(A58,"dddd")</x:f>
        <x:v>Monday</x:v>
      </x:c>
      <x:c r="E58" s="56" t="n">
        <x:f>IFERROR(VLOOKUP(D58,'Work Schedule'!$A$4:$F$10,2,FALSE),"")</x:f>
        <x:v>0.3333333333333333</x:v>
      </x:c>
      <x:c r="F58" s="56" t="n">
        <x:f>IFERROR(VLOOKUP(D58,'Work Schedule'!$A$4:$F$10,3,FALSE),"")</x:f>
        <x:v>0.7083333333333334</x:v>
      </x:c>
      <x:c r="G58" s="50" t="n">
        <x:v>0.3326388888888889</x:v>
      </x:c>
      <x:c r="H58" s="50" t="n">
        <x:v>0.7069444444444445</x:v>
      </x:c>
      <x:c r="I58" s="52" t="n">
        <x:v>1</x:v>
      </x:c>
      <x:c r="J58" s="36" t="str">
        <x:v>None</x:v>
      </x:c>
      <x:c r="K58" s="52" t="n">
        <x:v>0</x:v>
      </x:c>
      <x:c r="L58" s="58" t="n">
        <x:f>IFERROR(VLOOKUP(D58,'Work Schedule'!$A$4:$F$10,5,FALSE),0)</x:f>
        <x:v>8</x:v>
      </x:c>
      <x:c r="M58" s="46" t="n">
        <x:f>IF(OR(G58="",H58=""),0,ROUND(MAX(0,(H58-G58)*24-I58),2))</x:f>
        <x:v>7.98</x:v>
      </x:c>
      <x:c r="N58" s="60" t="n">
        <x:f>A58-WEEKDAY(A58,2)+1</x:f>
        <x:v>46265</x:v>
      </x:c>
      <x:c r="O58" s="58" t="n">
        <x:f>ROUND(SUMIFS($M$4:$M$400,$B$4:$B$400,B58,$N$4:$N$400,N58,$A$4:$A$400,"&lt;="&amp;A58),2)</x:f>
        <x:v>7.98</x:v>
      </x:c>
      <x:c r="P58" s="46" t="n">
        <x:f>ROUND(MAX(0,M58-Q58),2)</x:f>
        <x:v>7.98</x:v>
      </x:c>
      <x:c r="Q58" s="46" t="n">
        <x:f>ROUND(MAX(0,O58-Settings!$B$13)-MAX(0,O58-M58-Settings!$B$13),2)</x:f>
        <x:v>0</x:v>
      </x:c>
      <x:c r="R58" s="46" t="n">
        <x:f>ROUND(M58+K58-L58,2)</x:f>
        <x:v>-0.02</x:v>
      </x:c>
      <x:c r="S58" t="str">
        <x:f>IF(B58="","",IF(J58&lt;&gt;"None",J58,IF(Q58&gt;0,"Overtime",IF(G58&gt;E58,"Late",IF(H58&lt;F58,"Left Early","On Time")))))</x:f>
        <x:v>Left Early</x:v>
      </x:c>
      <x:c r="T58" s="36" t="str"/>
    </x:row>
    <x:row r="59">
      <x:c r="A59" s="37" t="n">
        <x:v>46266</x:v>
      </x:c>
      <x:c r="B59" s="36" t="str">
        <x:v>EMP-003</x:v>
      </x:c>
      <x:c r="C59" s="54" t="str">
        <x:f>IFERROR(VLOOKUP(B59,Employees!$A$4:$K$9,2,FALSE),"")</x:f>
        <x:v>Ava Patel</x:v>
      </x:c>
      <x:c r="D59" s="54" t="str">
        <x:f>TEXT(A59,"dddd")</x:f>
        <x:v>Tuesday</x:v>
      </x:c>
      <x:c r="E59" s="56" t="n">
        <x:f>IFERROR(VLOOKUP(D59,'Work Schedule'!$A$4:$F$10,2,FALSE),"")</x:f>
        <x:v>0.3333333333333333</x:v>
      </x:c>
      <x:c r="F59" s="56" t="n">
        <x:f>IFERROR(VLOOKUP(D59,'Work Schedule'!$A$4:$F$10,3,FALSE),"")</x:f>
        <x:v>0.7083333333333334</x:v>
      </x:c>
      <x:c r="G59" s="50" t="n">
        <x:v>0.33402777777777776</x:v>
      </x:c>
      <x:c r="H59" s="50" t="n">
        <x:v>0.7118055555555556</x:v>
      </x:c>
      <x:c r="I59" s="52" t="n">
        <x:v>1</x:v>
      </x:c>
      <x:c r="J59" s="36" t="str">
        <x:v>None</x:v>
      </x:c>
      <x:c r="K59" s="52" t="n">
        <x:v>0</x:v>
      </x:c>
      <x:c r="L59" s="58" t="n">
        <x:f>IFERROR(VLOOKUP(D59,'Work Schedule'!$A$4:$F$10,5,FALSE),0)</x:f>
        <x:v>8</x:v>
      </x:c>
      <x:c r="M59" s="46" t="n">
        <x:f>IF(OR(G59="",H59=""),0,ROUND(MAX(0,(H59-G59)*24-I59),2))</x:f>
        <x:v>8.07</x:v>
      </x:c>
      <x:c r="N59" s="60" t="n">
        <x:f>A59-WEEKDAY(A59,2)+1</x:f>
        <x:v>46265</x:v>
      </x:c>
      <x:c r="O59" s="58" t="n">
        <x:f>ROUND(SUMIFS($M$4:$M$400,$B$4:$B$400,B59,$N$4:$N$400,N59,$A$4:$A$400,"&lt;="&amp;A59),2)</x:f>
        <x:v>16.05</x:v>
      </x:c>
      <x:c r="P59" s="46" t="n">
        <x:f>ROUND(MAX(0,M59-Q59),2)</x:f>
        <x:v>8.07</x:v>
      </x:c>
      <x:c r="Q59" s="46" t="n">
        <x:f>ROUND(MAX(0,O59-Settings!$B$13)-MAX(0,O59-M59-Settings!$B$13),2)</x:f>
        <x:v>0</x:v>
      </x:c>
      <x:c r="R59" s="46" t="n">
        <x:f>ROUND(M59+K59-L59,2)</x:f>
        <x:v>0.07</x:v>
      </x:c>
      <x:c r="S59" t="str">
        <x:f>IF(B59="","",IF(J59&lt;&gt;"None",J59,IF(Q59&gt;0,"Overtime",IF(G59&gt;E59,"Late",IF(H59&lt;F59,"Left Early","On Time")))))</x:f>
        <x:v>Late</x:v>
      </x:c>
      <x:c r="T59" s="36" t="str"/>
    </x:row>
    <x:row r="60">
      <x:c r="A60" s="37" t="n">
        <x:v>46267</x:v>
      </x:c>
      <x:c r="B60" s="36" t="str">
        <x:v>EMP-003</x:v>
      </x:c>
      <x:c r="C60" s="54" t="str">
        <x:f>IFERROR(VLOOKUP(B60,Employees!$A$4:$K$9,2,FALSE),"")</x:f>
        <x:v>Ava Patel</x:v>
      </x:c>
      <x:c r="D60" s="54" t="str">
        <x:f>TEXT(A60,"dddd")</x:f>
        <x:v>Wednesday</x:v>
      </x:c>
      <x:c r="E60" s="56" t="n">
        <x:f>IFERROR(VLOOKUP(D60,'Work Schedule'!$A$4:$F$10,2,FALSE),"")</x:f>
        <x:v>0.3333333333333333</x:v>
      </x:c>
      <x:c r="F60" s="56" t="n">
        <x:f>IFERROR(VLOOKUP(D60,'Work Schedule'!$A$4:$F$10,3,FALSE),"")</x:f>
        <x:v>0.7083333333333334</x:v>
      </x:c>
      <x:c r="G60" s="50" t="n">
        <x:v>0.33402777777777776</x:v>
      </x:c>
      <x:c r="H60" s="50" t="n">
        <x:v>0.7076388888888889</x:v>
      </x:c>
      <x:c r="I60" s="52" t="n">
        <x:v>1</x:v>
      </x:c>
      <x:c r="J60" s="36" t="str">
        <x:v>None</x:v>
      </x:c>
      <x:c r="K60" s="52" t="n">
        <x:v>0</x:v>
      </x:c>
      <x:c r="L60" s="58" t="n">
        <x:f>IFERROR(VLOOKUP(D60,'Work Schedule'!$A$4:$F$10,5,FALSE),0)</x:f>
        <x:v>8</x:v>
      </x:c>
      <x:c r="M60" s="46" t="n">
        <x:f>IF(OR(G60="",H60=""),0,ROUND(MAX(0,(H60-G60)*24-I60),2))</x:f>
        <x:v>7.97</x:v>
      </x:c>
      <x:c r="N60" s="60" t="n">
        <x:f>A60-WEEKDAY(A60,2)+1</x:f>
        <x:v>46265</x:v>
      </x:c>
      <x:c r="O60" s="58" t="n">
        <x:f>ROUND(SUMIFS($M$4:$M$400,$B$4:$B$400,B60,$N$4:$N$400,N60,$A$4:$A$400,"&lt;="&amp;A60),2)</x:f>
        <x:v>24.02</x:v>
      </x:c>
      <x:c r="P60" s="46" t="n">
        <x:f>ROUND(MAX(0,M60-Q60),2)</x:f>
        <x:v>7.97</x:v>
      </x:c>
      <x:c r="Q60" s="46" t="n">
        <x:f>ROUND(MAX(0,O60-Settings!$B$13)-MAX(0,O60-M60-Settings!$B$13),2)</x:f>
        <x:v>0</x:v>
      </x:c>
      <x:c r="R60" s="46" t="n">
        <x:f>ROUND(M60+K60-L60,2)</x:f>
        <x:v>-0.03</x:v>
      </x:c>
      <x:c r="S60" t="str">
        <x:f>IF(B60="","",IF(J60&lt;&gt;"None",J60,IF(Q60&gt;0,"Overtime",IF(G60&gt;E60,"Late",IF(H60&lt;F60,"Left Early","On Time")))))</x:f>
        <x:v>Late</x:v>
      </x:c>
      <x:c r="T60" s="36" t="str"/>
    </x:row>
    <x:row r="61">
      <x:c r="A61" s="37" t="n">
        <x:v>46268</x:v>
      </x:c>
      <x:c r="B61" s="36" t="str">
        <x:v>EMP-003</x:v>
      </x:c>
      <x:c r="C61" s="54" t="str">
        <x:f>IFERROR(VLOOKUP(B61,Employees!$A$4:$K$9,2,FALSE),"")</x:f>
        <x:v>Ava Patel</x:v>
      </x:c>
      <x:c r="D61" s="54" t="str">
        <x:f>TEXT(A61,"dddd")</x:f>
        <x:v>Thursday</x:v>
      </x:c>
      <x:c r="E61" s="56" t="n">
        <x:f>IFERROR(VLOOKUP(D61,'Work Schedule'!$A$4:$F$10,2,FALSE),"")</x:f>
        <x:v>0.3333333333333333</x:v>
      </x:c>
      <x:c r="F61" s="56" t="n">
        <x:f>IFERROR(VLOOKUP(D61,'Work Schedule'!$A$4:$F$10,3,FALSE),"")</x:f>
        <x:v>0.7083333333333334</x:v>
      </x:c>
      <x:c r="G61" s="50" t="n">
        <x:v>0.3347222222222222</x:v>
      </x:c>
      <x:c r="H61" s="50" t="n">
        <x:v>0.7097222222222223</x:v>
      </x:c>
      <x:c r="I61" s="52" t="n">
        <x:v>1</x:v>
      </x:c>
      <x:c r="J61" s="36" t="str">
        <x:v>None</x:v>
      </x:c>
      <x:c r="K61" s="52" t="n">
        <x:v>0</x:v>
      </x:c>
      <x:c r="L61" s="58" t="n">
        <x:f>IFERROR(VLOOKUP(D61,'Work Schedule'!$A$4:$F$10,5,FALSE),0)</x:f>
        <x:v>8</x:v>
      </x:c>
      <x:c r="M61" s="46" t="n">
        <x:f>IF(OR(G61="",H61=""),0,ROUND(MAX(0,(H61-G61)*24-I61),2))</x:f>
        <x:v>8</x:v>
      </x:c>
      <x:c r="N61" s="60" t="n">
        <x:f>A61-WEEKDAY(A61,2)+1</x:f>
        <x:v>46265</x:v>
      </x:c>
      <x:c r="O61" s="58" t="n">
        <x:f>ROUND(SUMIFS($M$4:$M$400,$B$4:$B$400,B61,$N$4:$N$400,N61,$A$4:$A$400,"&lt;="&amp;A61),2)</x:f>
        <x:v>32.02</x:v>
      </x:c>
      <x:c r="P61" s="46" t="n">
        <x:f>ROUND(MAX(0,M61-Q61),2)</x:f>
        <x:v>8</x:v>
      </x:c>
      <x:c r="Q61" s="46" t="n">
        <x:f>ROUND(MAX(0,O61-Settings!$B$13)-MAX(0,O61-M61-Settings!$B$13),2)</x:f>
        <x:v>0</x:v>
      </x:c>
      <x:c r="R61" s="46" t="n">
        <x:f>ROUND(M61+K61-L61,2)</x:f>
        <x:v>0</x:v>
      </x:c>
      <x:c r="S61" t="str">
        <x:f>IF(B61="","",IF(J61&lt;&gt;"None",J61,IF(Q61&gt;0,"Overtime",IF(G61&gt;E61,"Late",IF(H61&lt;F61,"Left Early","On Time")))))</x:f>
        <x:v>Late</x:v>
      </x:c>
      <x:c r="T61" s="36" t="str"/>
    </x:row>
    <x:row r="62">
      <x:c r="A62" s="37" t="n">
        <x:v>46269</x:v>
      </x:c>
      <x:c r="B62" s="36" t="str">
        <x:v>EMP-003</x:v>
      </x:c>
      <x:c r="C62" s="54" t="str">
        <x:f>IFERROR(VLOOKUP(B62,Employees!$A$4:$K$9,2,FALSE),"")</x:f>
        <x:v>Ava Patel</x:v>
      </x:c>
      <x:c r="D62" s="54" t="str">
        <x:f>TEXT(A62,"dddd")</x:f>
        <x:v>Friday</x:v>
      </x:c>
      <x:c r="E62" s="56" t="n">
        <x:f>IFERROR(VLOOKUP(D62,'Work Schedule'!$A$4:$F$10,2,FALSE),"")</x:f>
        <x:v>0.3333333333333333</x:v>
      </x:c>
      <x:c r="F62" s="56" t="n">
        <x:f>IFERROR(VLOOKUP(D62,'Work Schedule'!$A$4:$F$10,3,FALSE),"")</x:f>
        <x:v>0.7083333333333334</x:v>
      </x:c>
      <x:c r="G62" s="50" t="n">
        <x:v>0.3333333333333333</x:v>
      </x:c>
      <x:c r="H62" s="50" t="n">
        <x:v>0.7125</x:v>
      </x:c>
      <x:c r="I62" s="52" t="n">
        <x:v>1</x:v>
      </x:c>
      <x:c r="J62" s="36" t="str">
        <x:v>None</x:v>
      </x:c>
      <x:c r="K62" s="52" t="n">
        <x:v>0</x:v>
      </x:c>
      <x:c r="L62" s="58" t="n">
        <x:f>IFERROR(VLOOKUP(D62,'Work Schedule'!$A$4:$F$10,5,FALSE),0)</x:f>
        <x:v>8</x:v>
      </x:c>
      <x:c r="M62" s="46" t="n">
        <x:f>IF(OR(G62="",H62=""),0,ROUND(MAX(0,(H62-G62)*24-I62),2))</x:f>
        <x:v>8.1</x:v>
      </x:c>
      <x:c r="N62" s="60" t="n">
        <x:f>A62-WEEKDAY(A62,2)+1</x:f>
        <x:v>46265</x:v>
      </x:c>
      <x:c r="O62" s="58" t="n">
        <x:f>ROUND(SUMIFS($M$4:$M$400,$B$4:$B$400,B62,$N$4:$N$400,N62,$A$4:$A$400,"&lt;="&amp;A62),2)</x:f>
        <x:v>40.12</x:v>
      </x:c>
      <x:c r="P62" s="46" t="n">
        <x:f>ROUND(MAX(0,M62-Q62),2)</x:f>
        <x:v>8.1</x:v>
      </x:c>
      <x:c r="Q62" s="46" t="n">
        <x:f>ROUND(MAX(0,O62-Settings!$B$13)-MAX(0,O62-M62-Settings!$B$13),2)</x:f>
        <x:v>0</x:v>
      </x:c>
      <x:c r="R62" s="46" t="n">
        <x:f>ROUND(M62+K62-L62,2)</x:f>
        <x:v>0.1</x:v>
      </x:c>
      <x:c r="S62" t="str">
        <x:f>IF(B62="","",IF(J62&lt;&gt;"None",J62,IF(Q62&gt;0,"Overtime",IF(G62&gt;E62,"Late",IF(H62&lt;F62,"Left Early","On Time")))))</x:f>
        <x:v>On Time</x:v>
      </x:c>
      <x:c r="T62" s="36" t="str"/>
    </x:row>
    <x:row r="63">
      <x:c r="A63" s="37" t="n">
        <x:v>46270</x:v>
      </x:c>
      <x:c r="B63" s="36" t="str">
        <x:v>EMP-003</x:v>
      </x:c>
      <x:c r="C63" s="54" t="str">
        <x:f>IFERROR(VLOOKUP(B63,Employees!$A$4:$K$9,2,FALSE),"")</x:f>
        <x:v>Ava Patel</x:v>
      </x:c>
      <x:c r="D63" s="54" t="str">
        <x:f>TEXT(A63,"dddd")</x:f>
        <x:v>Saturday</x:v>
      </x:c>
      <x:c r="E63" s="56" t="n">
        <x:f>IFERROR(VLOOKUP(D63,'Work Schedule'!$A$4:$F$10,2,FALSE),"")</x:f>
        <x:v>0.3333333333333333</x:v>
      </x:c>
      <x:c r="F63" s="56" t="n">
        <x:f>IFERROR(VLOOKUP(D63,'Work Schedule'!$A$4:$F$10,3,FALSE),"")</x:f>
        <x:v>0.5833333333333334</x:v>
      </x:c>
      <x:c r="G63" s="50" t="n">
        <x:v>0.33194444444444443</x:v>
      </x:c>
      <x:c r="H63" s="50" t="n">
        <x:v>0.5847222222222223</x:v>
      </x:c>
      <x:c r="I63" s="52" t="n">
        <x:v>1</x:v>
      </x:c>
      <x:c r="J63" s="36" t="str">
        <x:v>None</x:v>
      </x:c>
      <x:c r="K63" s="52" t="n">
        <x:v>0</x:v>
      </x:c>
      <x:c r="L63" s="58" t="n">
        <x:f>IFERROR(VLOOKUP(D63,'Work Schedule'!$A$4:$F$10,5,FALSE),0)</x:f>
        <x:v>5</x:v>
      </x:c>
      <x:c r="M63" s="46" t="n">
        <x:f>IF(OR(G63="",H63=""),0,ROUND(MAX(0,(H63-G63)*24-I63),2))</x:f>
        <x:v>5.07</x:v>
      </x:c>
      <x:c r="N63" s="60" t="n">
        <x:f>A63-WEEKDAY(A63,2)+1</x:f>
        <x:v>46265</x:v>
      </x:c>
      <x:c r="O63" s="58" t="n">
        <x:f>ROUND(SUMIFS($M$4:$M$400,$B$4:$B$400,B63,$N$4:$N$400,N63,$A$4:$A$400,"&lt;="&amp;A63),2)</x:f>
        <x:v>45.19</x:v>
      </x:c>
      <x:c r="P63" s="46" t="n">
        <x:f>ROUND(MAX(0,M63-Q63),2)</x:f>
        <x:v>3.88</x:v>
      </x:c>
      <x:c r="Q63" s="46" t="n">
        <x:f>ROUND(MAX(0,O63-Settings!$B$13)-MAX(0,O63-M63-Settings!$B$13),2)</x:f>
        <x:v>1.19</x:v>
      </x:c>
      <x:c r="R63" s="46" t="n">
        <x:f>ROUND(M63+K63-L63,2)</x:f>
        <x:v>0.07</x:v>
      </x:c>
      <x:c r="S63" t="str">
        <x:f>IF(B63="","",IF(J63&lt;&gt;"None",J63,IF(Q63&gt;0,"Overtime",IF(G63&gt;E63,"Late",IF(H63&lt;F63,"Left Early","On Time")))))</x:f>
        <x:v>Overtime</x:v>
      </x:c>
      <x:c r="T63" s="36" t="str"/>
    </x:row>
    <x:row r="64">
      <x:c r="A64" s="37" t="n">
        <x:v>46272</x:v>
      </x:c>
      <x:c r="B64" s="36" t="str">
        <x:v>EMP-003</x:v>
      </x:c>
      <x:c r="C64" s="54" t="str">
        <x:f>IFERROR(VLOOKUP(B64,Employees!$A$4:$K$9,2,FALSE),"")</x:f>
        <x:v>Ava Patel</x:v>
      </x:c>
      <x:c r="D64" s="54" t="str">
        <x:f>TEXT(A64,"dddd")</x:f>
        <x:v>Monday</x:v>
      </x:c>
      <x:c r="E64" s="56" t="n">
        <x:f>IFERROR(VLOOKUP(D64,'Work Schedule'!$A$4:$F$10,2,FALSE),"")</x:f>
        <x:v>0.3333333333333333</x:v>
      </x:c>
      <x:c r="F64" s="56" t="n">
        <x:f>IFERROR(VLOOKUP(D64,'Work Schedule'!$A$4:$F$10,3,FALSE),"")</x:f>
        <x:v>0.7083333333333334</x:v>
      </x:c>
      <x:c r="G64" s="50"/>
      <x:c r="H64" s="50"/>
      <x:c r="I64" s="52" t="n">
        <x:v>0</x:v>
      </x:c>
      <x:c r="J64" s="36" t="str">
        <x:v>Public Holiday</x:v>
      </x:c>
      <x:c r="K64" s="52" t="n">
        <x:v>8</x:v>
      </x:c>
      <x:c r="L64" s="58" t="n">
        <x:f>IFERROR(VLOOKUP(D64,'Work Schedule'!$A$4:$F$10,5,FALSE),0)</x:f>
        <x:v>8</x:v>
      </x:c>
      <x:c r="M64" s="46" t="n">
        <x:f>IF(OR(G64="",H64=""),0,ROUND(MAX(0,(H64-G64)*24-I64),2))</x:f>
        <x:v>0</x:v>
      </x:c>
      <x:c r="N64" s="60" t="n">
        <x:f>A64-WEEKDAY(A64,2)+1</x:f>
        <x:v>46272</x:v>
      </x:c>
      <x:c r="O64" s="58" t="n">
        <x:f>ROUND(SUMIFS($M$4:$M$400,$B$4:$B$400,B64,$N$4:$N$400,N64,$A$4:$A$400,"&lt;="&amp;A64),2)</x:f>
        <x:v>0</x:v>
      </x:c>
      <x:c r="P64" s="46" t="n">
        <x:f>ROUND(MAX(0,M64-Q64),2)</x:f>
        <x:v>0</x:v>
      </x:c>
      <x:c r="Q64" s="46" t="n">
        <x:f>ROUND(MAX(0,O64-Settings!$B$13)-MAX(0,O64-M64-Settings!$B$13),2)</x:f>
        <x:v>0</x:v>
      </x:c>
      <x:c r="R64" s="46" t="n">
        <x:f>ROUND(M64+K64-L64,2)</x:f>
        <x:v>0</x:v>
      </x:c>
      <x:c r="S64" t="str">
        <x:f>IF(B64="","",IF(J64&lt;&gt;"None",J64,IF(Q64&gt;0,"Overtime",IF(G64&gt;E64,"Late",IF(H64&lt;F64,"Left Early","On Time")))))</x:f>
        <x:v>Public Holiday</x:v>
      </x:c>
      <x:c r="T64" s="36" t="str">
        <x:v>Labour Day</x:v>
      </x:c>
    </x:row>
    <x:row r="65">
      <x:c r="A65" s="37" t="n">
        <x:v>46273</x:v>
      </x:c>
      <x:c r="B65" s="36" t="str">
        <x:v>EMP-003</x:v>
      </x:c>
      <x:c r="C65" s="54" t="str">
        <x:f>IFERROR(VLOOKUP(B65,Employees!$A$4:$K$9,2,FALSE),"")</x:f>
        <x:v>Ava Patel</x:v>
      </x:c>
      <x:c r="D65" s="54" t="str">
        <x:f>TEXT(A65,"dddd")</x:f>
        <x:v>Tuesday</x:v>
      </x:c>
      <x:c r="E65" s="56" t="n">
        <x:f>IFERROR(VLOOKUP(D65,'Work Schedule'!$A$4:$F$10,2,FALSE),"")</x:f>
        <x:v>0.3333333333333333</x:v>
      </x:c>
      <x:c r="F65" s="56" t="n">
        <x:f>IFERROR(VLOOKUP(D65,'Work Schedule'!$A$4:$F$10,3,FALSE),"")</x:f>
        <x:v>0.7083333333333334</x:v>
      </x:c>
      <x:c r="G65" s="50" t="n">
        <x:v>0.3333333333333333</x:v>
      </x:c>
      <x:c r="H65" s="50" t="n">
        <x:v>0.7104166666666667</x:v>
      </x:c>
      <x:c r="I65" s="52" t="n">
        <x:v>1</x:v>
      </x:c>
      <x:c r="J65" s="36" t="str">
        <x:v>None</x:v>
      </x:c>
      <x:c r="K65" s="52" t="n">
        <x:v>0</x:v>
      </x:c>
      <x:c r="L65" s="58" t="n">
        <x:f>IFERROR(VLOOKUP(D65,'Work Schedule'!$A$4:$F$10,5,FALSE),0)</x:f>
        <x:v>8</x:v>
      </x:c>
      <x:c r="M65" s="46" t="n">
        <x:f>IF(OR(G65="",H65=""),0,ROUND(MAX(0,(H65-G65)*24-I65),2))</x:f>
        <x:v>8.05</x:v>
      </x:c>
      <x:c r="N65" s="60" t="n">
        <x:f>A65-WEEKDAY(A65,2)+1</x:f>
        <x:v>46272</x:v>
      </x:c>
      <x:c r="O65" s="58" t="n">
        <x:f>ROUND(SUMIFS($M$4:$M$400,$B$4:$B$400,B65,$N$4:$N$400,N65,$A$4:$A$400,"&lt;="&amp;A65),2)</x:f>
        <x:v>8.05</x:v>
      </x:c>
      <x:c r="P65" s="46" t="n">
        <x:f>ROUND(MAX(0,M65-Q65),2)</x:f>
        <x:v>8.05</x:v>
      </x:c>
      <x:c r="Q65" s="46" t="n">
        <x:f>ROUND(MAX(0,O65-Settings!$B$13)-MAX(0,O65-M65-Settings!$B$13),2)</x:f>
        <x:v>0</x:v>
      </x:c>
      <x:c r="R65" s="46" t="n">
        <x:f>ROUND(M65+K65-L65,2)</x:f>
        <x:v>0.05</x:v>
      </x:c>
      <x:c r="S65" t="str">
        <x:f>IF(B65="","",IF(J65&lt;&gt;"None",J65,IF(Q65&gt;0,"Overtime",IF(G65&gt;E65,"Late",IF(H65&lt;F65,"Left Early","On Time")))))</x:f>
        <x:v>On Time</x:v>
      </x:c>
      <x:c r="T65" s="36" t="str"/>
    </x:row>
    <x:row r="66">
      <x:c r="A66" s="37" t="n">
        <x:v>46274</x:v>
      </x:c>
      <x:c r="B66" s="36" t="str">
        <x:v>EMP-003</x:v>
      </x:c>
      <x:c r="C66" s="54" t="str">
        <x:f>IFERROR(VLOOKUP(B66,Employees!$A$4:$K$9,2,FALSE),"")</x:f>
        <x:v>Ava Patel</x:v>
      </x:c>
      <x:c r="D66" s="54" t="str">
        <x:f>TEXT(A66,"dddd")</x:f>
        <x:v>Wednesday</x:v>
      </x:c>
      <x:c r="E66" s="56" t="n">
        <x:f>IFERROR(VLOOKUP(D66,'Work Schedule'!$A$4:$F$10,2,FALSE),"")</x:f>
        <x:v>0.3333333333333333</x:v>
      </x:c>
      <x:c r="F66" s="56" t="n">
        <x:f>IFERROR(VLOOKUP(D66,'Work Schedule'!$A$4:$F$10,3,FALSE),"")</x:f>
        <x:v>0.7083333333333334</x:v>
      </x:c>
      <x:c r="G66" s="50" t="n">
        <x:v>0.3333333333333333</x:v>
      </x:c>
      <x:c r="H66" s="50" t="n">
        <x:v>0.7076388888888889</x:v>
      </x:c>
      <x:c r="I66" s="52" t="n">
        <x:v>1</x:v>
      </x:c>
      <x:c r="J66" s="36" t="str">
        <x:v>None</x:v>
      </x:c>
      <x:c r="K66" s="52" t="n">
        <x:v>0</x:v>
      </x:c>
      <x:c r="L66" s="58" t="n">
        <x:f>IFERROR(VLOOKUP(D66,'Work Schedule'!$A$4:$F$10,5,FALSE),0)</x:f>
        <x:v>8</x:v>
      </x:c>
      <x:c r="M66" s="46" t="n">
        <x:f>IF(OR(G66="",H66=""),0,ROUND(MAX(0,(H66-G66)*24-I66),2))</x:f>
        <x:v>7.98</x:v>
      </x:c>
      <x:c r="N66" s="60" t="n">
        <x:f>A66-WEEKDAY(A66,2)+1</x:f>
        <x:v>46272</x:v>
      </x:c>
      <x:c r="O66" s="58" t="n">
        <x:f>ROUND(SUMIFS($M$4:$M$400,$B$4:$B$400,B66,$N$4:$N$400,N66,$A$4:$A$400,"&lt;="&amp;A66),2)</x:f>
        <x:v>16.03</x:v>
      </x:c>
      <x:c r="P66" s="46" t="n">
        <x:f>ROUND(MAX(0,M66-Q66),2)</x:f>
        <x:v>7.98</x:v>
      </x:c>
      <x:c r="Q66" s="46" t="n">
        <x:f>ROUND(MAX(0,O66-Settings!$B$13)-MAX(0,O66-M66-Settings!$B$13),2)</x:f>
        <x:v>0</x:v>
      </x:c>
      <x:c r="R66" s="46" t="n">
        <x:f>ROUND(M66+K66-L66,2)</x:f>
        <x:v>-0.02</x:v>
      </x:c>
      <x:c r="S66" t="str">
        <x:f>IF(B66="","",IF(J66&lt;&gt;"None",J66,IF(Q66&gt;0,"Overtime",IF(G66&gt;E66,"Late",IF(H66&lt;F66,"Left Early","On Time")))))</x:f>
        <x:v>Left Early</x:v>
      </x:c>
      <x:c r="T66" s="36" t="str"/>
    </x:row>
    <x:row r="67">
      <x:c r="A67" s="37" t="n">
        <x:v>46275</x:v>
      </x:c>
      <x:c r="B67" s="36" t="str">
        <x:v>EMP-003</x:v>
      </x:c>
      <x:c r="C67" s="54" t="str">
        <x:f>IFERROR(VLOOKUP(B67,Employees!$A$4:$K$9,2,FALSE),"")</x:f>
        <x:v>Ava Patel</x:v>
      </x:c>
      <x:c r="D67" s="54" t="str">
        <x:f>TEXT(A67,"dddd")</x:f>
        <x:v>Thursday</x:v>
      </x:c>
      <x:c r="E67" s="56" t="n">
        <x:f>IFERROR(VLOOKUP(D67,'Work Schedule'!$A$4:$F$10,2,FALSE),"")</x:f>
        <x:v>0.3333333333333333</x:v>
      </x:c>
      <x:c r="F67" s="56" t="n">
        <x:f>IFERROR(VLOOKUP(D67,'Work Schedule'!$A$4:$F$10,3,FALSE),"")</x:f>
        <x:v>0.7083333333333334</x:v>
      </x:c>
      <x:c r="G67" s="50" t="n">
        <x:v>0.33194444444444443</x:v>
      </x:c>
      <x:c r="H67" s="50" t="n">
        <x:v>0.7083333333333334</x:v>
      </x:c>
      <x:c r="I67" s="52" t="n">
        <x:v>1</x:v>
      </x:c>
      <x:c r="J67" s="36" t="str">
        <x:v>None</x:v>
      </x:c>
      <x:c r="K67" s="52" t="n">
        <x:v>0</x:v>
      </x:c>
      <x:c r="L67" s="58" t="n">
        <x:f>IFERROR(VLOOKUP(D67,'Work Schedule'!$A$4:$F$10,5,FALSE),0)</x:f>
        <x:v>8</x:v>
      </x:c>
      <x:c r="M67" s="46" t="n">
        <x:f>IF(OR(G67="",H67=""),0,ROUND(MAX(0,(H67-G67)*24-I67),2))</x:f>
        <x:v>8.03</x:v>
      </x:c>
      <x:c r="N67" s="60" t="n">
        <x:f>A67-WEEKDAY(A67,2)+1</x:f>
        <x:v>46272</x:v>
      </x:c>
      <x:c r="O67" s="58" t="n">
        <x:f>ROUND(SUMIFS($M$4:$M$400,$B$4:$B$400,B67,$N$4:$N$400,N67,$A$4:$A$400,"&lt;="&amp;A67),2)</x:f>
        <x:v>24.06</x:v>
      </x:c>
      <x:c r="P67" s="46" t="n">
        <x:f>ROUND(MAX(0,M67-Q67),2)</x:f>
        <x:v>8.03</x:v>
      </x:c>
      <x:c r="Q67" s="46" t="n">
        <x:f>ROUND(MAX(0,O67-Settings!$B$13)-MAX(0,O67-M67-Settings!$B$13),2)</x:f>
        <x:v>0</x:v>
      </x:c>
      <x:c r="R67" s="46" t="n">
        <x:f>ROUND(M67+K67-L67,2)</x:f>
        <x:v>0.03</x:v>
      </x:c>
      <x:c r="S67" t="str">
        <x:f>IF(B67="","",IF(J67&lt;&gt;"None",J67,IF(Q67&gt;0,"Overtime",IF(G67&gt;E67,"Late",IF(H67&lt;F67,"Left Early","On Time")))))</x:f>
        <x:v>On Time</x:v>
      </x:c>
      <x:c r="T67" s="36" t="str"/>
    </x:row>
    <x:row r="68">
      <x:c r="A68" s="37" t="n">
        <x:v>46276</x:v>
      </x:c>
      <x:c r="B68" s="36" t="str">
        <x:v>EMP-003</x:v>
      </x:c>
      <x:c r="C68" s="54" t="str">
        <x:f>IFERROR(VLOOKUP(B68,Employees!$A$4:$K$9,2,FALSE),"")</x:f>
        <x:v>Ava Patel</x:v>
      </x:c>
      <x:c r="D68" s="54" t="str">
        <x:f>TEXT(A68,"dddd")</x:f>
        <x:v>Friday</x:v>
      </x:c>
      <x:c r="E68" s="56" t="n">
        <x:f>IFERROR(VLOOKUP(D68,'Work Schedule'!$A$4:$F$10,2,FALSE),"")</x:f>
        <x:v>0.3333333333333333</x:v>
      </x:c>
      <x:c r="F68" s="56" t="n">
        <x:f>IFERROR(VLOOKUP(D68,'Work Schedule'!$A$4:$F$10,3,FALSE),"")</x:f>
        <x:v>0.7083333333333334</x:v>
      </x:c>
      <x:c r="G68" s="50"/>
      <x:c r="H68" s="50"/>
      <x:c r="I68" s="52" t="n">
        <x:v>0</x:v>
      </x:c>
      <x:c r="J68" s="36" t="str">
        <x:v>Paid Leave</x:v>
      </x:c>
      <x:c r="K68" s="52" t="n">
        <x:v>8</x:v>
      </x:c>
      <x:c r="L68" s="58" t="n">
        <x:f>IFERROR(VLOOKUP(D68,'Work Schedule'!$A$4:$F$10,5,FALSE),0)</x:f>
        <x:v>8</x:v>
      </x:c>
      <x:c r="M68" s="46" t="n">
        <x:f>IF(OR(G68="",H68=""),0,ROUND(MAX(0,(H68-G68)*24-I68),2))</x:f>
        <x:v>0</x:v>
      </x:c>
      <x:c r="N68" s="60" t="n">
        <x:f>A68-WEEKDAY(A68,2)+1</x:f>
        <x:v>46272</x:v>
      </x:c>
      <x:c r="O68" s="58" t="n">
        <x:f>ROUND(SUMIFS($M$4:$M$400,$B$4:$B$400,B68,$N$4:$N$400,N68,$A$4:$A$400,"&lt;="&amp;A68),2)</x:f>
        <x:v>24.06</x:v>
      </x:c>
      <x:c r="P68" s="46" t="n">
        <x:f>ROUND(MAX(0,M68-Q68),2)</x:f>
        <x:v>0</x:v>
      </x:c>
      <x:c r="Q68" s="46" t="n">
        <x:f>ROUND(MAX(0,O68-Settings!$B$13)-MAX(0,O68-M68-Settings!$B$13),2)</x:f>
        <x:v>0</x:v>
      </x:c>
      <x:c r="R68" s="46" t="n">
        <x:f>ROUND(M68+K68-L68,2)</x:f>
        <x:v>0</x:v>
      </x:c>
      <x:c r="S68" t="str">
        <x:f>IF(B68="","",IF(J68&lt;&gt;"None",J68,IF(Q68&gt;0,"Overtime",IF(G68&gt;E68,"Late",IF(H68&lt;F68,"Left Early","On Time")))))</x:f>
        <x:v>Paid Leave</x:v>
      </x:c>
      <x:c r="T68" s="36" t="str">
        <x:v>Approved vacation day.</x:v>
      </x:c>
    </x:row>
    <x:row r="69">
      <x:c r="A69" s="37" t="n">
        <x:v>46277</x:v>
      </x:c>
      <x:c r="B69" s="36" t="str">
        <x:v>EMP-003</x:v>
      </x:c>
      <x:c r="C69" s="54" t="str">
        <x:f>IFERROR(VLOOKUP(B69,Employees!$A$4:$K$9,2,FALSE),"")</x:f>
        <x:v>Ava Patel</x:v>
      </x:c>
      <x:c r="D69" s="54" t="str">
        <x:f>TEXT(A69,"dddd")</x:f>
        <x:v>Saturday</x:v>
      </x:c>
      <x:c r="E69" s="56" t="n">
        <x:f>IFERROR(VLOOKUP(D69,'Work Schedule'!$A$4:$F$10,2,FALSE),"")</x:f>
        <x:v>0.3333333333333333</x:v>
      </x:c>
      <x:c r="F69" s="56" t="n">
        <x:f>IFERROR(VLOOKUP(D69,'Work Schedule'!$A$4:$F$10,3,FALSE),"")</x:f>
        <x:v>0.5833333333333334</x:v>
      </x:c>
      <x:c r="G69" s="50" t="n">
        <x:v>0.33055555555555555</x:v>
      </x:c>
      <x:c r="H69" s="50" t="n">
        <x:v>0.5861111111111111</x:v>
      </x:c>
      <x:c r="I69" s="52" t="n">
        <x:v>1</x:v>
      </x:c>
      <x:c r="J69" s="36" t="str">
        <x:v>None</x:v>
      </x:c>
      <x:c r="K69" s="52" t="n">
        <x:v>0</x:v>
      </x:c>
      <x:c r="L69" s="58" t="n">
        <x:f>IFERROR(VLOOKUP(D69,'Work Schedule'!$A$4:$F$10,5,FALSE),0)</x:f>
        <x:v>5</x:v>
      </x:c>
      <x:c r="M69" s="46" t="n">
        <x:f>IF(OR(G69="",H69=""),0,ROUND(MAX(0,(H69-G69)*24-I69),2))</x:f>
        <x:v>5.13</x:v>
      </x:c>
      <x:c r="N69" s="60" t="n">
        <x:f>A69-WEEKDAY(A69,2)+1</x:f>
        <x:v>46272</x:v>
      </x:c>
      <x:c r="O69" s="58" t="n">
        <x:f>ROUND(SUMIFS($M$4:$M$400,$B$4:$B$400,B69,$N$4:$N$400,N69,$A$4:$A$400,"&lt;="&amp;A69),2)</x:f>
        <x:v>29.19</x:v>
      </x:c>
      <x:c r="P69" s="46" t="n">
        <x:f>ROUND(MAX(0,M69-Q69),2)</x:f>
        <x:v>5.13</x:v>
      </x:c>
      <x:c r="Q69" s="46" t="n">
        <x:f>ROUND(MAX(0,O69-Settings!$B$13)-MAX(0,O69-M69-Settings!$B$13),2)</x:f>
        <x:v>0</x:v>
      </x:c>
      <x:c r="R69" s="46" t="n">
        <x:f>ROUND(M69+K69-L69,2)</x:f>
        <x:v>0.13</x:v>
      </x:c>
      <x:c r="S69" t="str">
        <x:f>IF(B69="","",IF(J69&lt;&gt;"None",J69,IF(Q69&gt;0,"Overtime",IF(G69&gt;E69,"Late",IF(H69&lt;F69,"Left Early","On Time")))))</x:f>
        <x:v>On Time</x:v>
      </x:c>
      <x:c r="T69" s="36" t="str"/>
    </x:row>
    <x:row r="70">
      <x:c r="A70" s="37" t="n">
        <x:v>46279</x:v>
      </x:c>
      <x:c r="B70" s="36" t="str">
        <x:v>EMP-003</x:v>
      </x:c>
      <x:c r="C70" s="54" t="str">
        <x:f>IFERROR(VLOOKUP(B70,Employees!$A$4:$K$9,2,FALSE),"")</x:f>
        <x:v>Ava Patel</x:v>
      </x:c>
      <x:c r="D70" s="54" t="str">
        <x:f>TEXT(A70,"dddd")</x:f>
        <x:v>Monday</x:v>
      </x:c>
      <x:c r="E70" s="56" t="n">
        <x:f>IFERROR(VLOOKUP(D70,'Work Schedule'!$A$4:$F$10,2,FALSE),"")</x:f>
        <x:v>0.3333333333333333</x:v>
      </x:c>
      <x:c r="F70" s="56" t="n">
        <x:f>IFERROR(VLOOKUP(D70,'Work Schedule'!$A$4:$F$10,3,FALSE),"")</x:f>
        <x:v>0.7083333333333334</x:v>
      </x:c>
      <x:c r="G70" s="50" t="n">
        <x:v>0.33125</x:v>
      </x:c>
      <x:c r="H70" s="50" t="n">
        <x:v>0.7083333333333334</x:v>
      </x:c>
      <x:c r="I70" s="52" t="n">
        <x:v>1</x:v>
      </x:c>
      <x:c r="J70" s="36" t="str">
        <x:v>None</x:v>
      </x:c>
      <x:c r="K70" s="52" t="n">
        <x:v>0</x:v>
      </x:c>
      <x:c r="L70" s="58" t="n">
        <x:f>IFERROR(VLOOKUP(D70,'Work Schedule'!$A$4:$F$10,5,FALSE),0)</x:f>
        <x:v>8</x:v>
      </x:c>
      <x:c r="M70" s="46" t="n">
        <x:f>IF(OR(G70="",H70=""),0,ROUND(MAX(0,(H70-G70)*24-I70),2))</x:f>
        <x:v>8.05</x:v>
      </x:c>
      <x:c r="N70" s="60" t="n">
        <x:f>A70-WEEKDAY(A70,2)+1</x:f>
        <x:v>46279</x:v>
      </x:c>
      <x:c r="O70" s="58" t="n">
        <x:f>ROUND(SUMIFS($M$4:$M$400,$B$4:$B$400,B70,$N$4:$N$400,N70,$A$4:$A$400,"&lt;="&amp;A70),2)</x:f>
        <x:v>8.05</x:v>
      </x:c>
      <x:c r="P70" s="46" t="n">
        <x:f>ROUND(MAX(0,M70-Q70),2)</x:f>
        <x:v>8.05</x:v>
      </x:c>
      <x:c r="Q70" s="46" t="n">
        <x:f>ROUND(MAX(0,O70-Settings!$B$13)-MAX(0,O70-M70-Settings!$B$13),2)</x:f>
        <x:v>0</x:v>
      </x:c>
      <x:c r="R70" s="46" t="n">
        <x:f>ROUND(M70+K70-L70,2)</x:f>
        <x:v>0.05</x:v>
      </x:c>
      <x:c r="S70" t="str">
        <x:f>IF(B70="","",IF(J70&lt;&gt;"None",J70,IF(Q70&gt;0,"Overtime",IF(G70&gt;E70,"Late",IF(H70&lt;F70,"Left Early","On Time")))))</x:f>
        <x:v>On Time</x:v>
      </x:c>
      <x:c r="T70" s="36" t="str"/>
    </x:row>
    <x:row r="71">
      <x:c r="A71" s="37" t="n">
        <x:v>46280</x:v>
      </x:c>
      <x:c r="B71" s="36" t="str">
        <x:v>EMP-003</x:v>
      </x:c>
      <x:c r="C71" s="54" t="str">
        <x:f>IFERROR(VLOOKUP(B71,Employees!$A$4:$K$9,2,FALSE),"")</x:f>
        <x:v>Ava Patel</x:v>
      </x:c>
      <x:c r="D71" s="54" t="str">
        <x:f>TEXT(A71,"dddd")</x:f>
        <x:v>Tuesday</x:v>
      </x:c>
      <x:c r="E71" s="56" t="n">
        <x:f>IFERROR(VLOOKUP(D71,'Work Schedule'!$A$4:$F$10,2,FALSE),"")</x:f>
        <x:v>0.3333333333333333</x:v>
      </x:c>
      <x:c r="F71" s="56" t="n">
        <x:f>IFERROR(VLOOKUP(D71,'Work Schedule'!$A$4:$F$10,3,FALSE),"")</x:f>
        <x:v>0.7083333333333334</x:v>
      </x:c>
      <x:c r="G71" s="50" t="n">
        <x:v>0.3347222222222222</x:v>
      </x:c>
      <x:c r="H71" s="50" t="n">
        <x:v>0.7083333333333334</x:v>
      </x:c>
      <x:c r="I71" s="52" t="n">
        <x:v>1</x:v>
      </x:c>
      <x:c r="J71" s="36" t="str">
        <x:v>None</x:v>
      </x:c>
      <x:c r="K71" s="52" t="n">
        <x:v>0</x:v>
      </x:c>
      <x:c r="L71" s="58" t="n">
        <x:f>IFERROR(VLOOKUP(D71,'Work Schedule'!$A$4:$F$10,5,FALSE),0)</x:f>
        <x:v>8</x:v>
      </x:c>
      <x:c r="M71" s="46" t="n">
        <x:f>IF(OR(G71="",H71=""),0,ROUND(MAX(0,(H71-G71)*24-I71),2))</x:f>
        <x:v>7.97</x:v>
      </x:c>
      <x:c r="N71" s="60" t="n">
        <x:f>A71-WEEKDAY(A71,2)+1</x:f>
        <x:v>46279</x:v>
      </x:c>
      <x:c r="O71" s="58" t="n">
        <x:f>ROUND(SUMIFS($M$4:$M$400,$B$4:$B$400,B71,$N$4:$N$400,N71,$A$4:$A$400,"&lt;="&amp;A71),2)</x:f>
        <x:v>16.02</x:v>
      </x:c>
      <x:c r="P71" s="46" t="n">
        <x:f>ROUND(MAX(0,M71-Q71),2)</x:f>
        <x:v>7.97</x:v>
      </x:c>
      <x:c r="Q71" s="46" t="n">
        <x:f>ROUND(MAX(0,O71-Settings!$B$13)-MAX(0,O71-M71-Settings!$B$13),2)</x:f>
        <x:v>0</x:v>
      </x:c>
      <x:c r="R71" s="46" t="n">
        <x:f>ROUND(M71+K71-L71,2)</x:f>
        <x:v>-0.03</x:v>
      </x:c>
      <x:c r="S71" t="str">
        <x:f>IF(B71="","",IF(J71&lt;&gt;"None",J71,IF(Q71&gt;0,"Overtime",IF(G71&gt;E71,"Late",IF(H71&lt;F71,"Left Early","On Time")))))</x:f>
        <x:v>Late</x:v>
      </x:c>
      <x:c r="T71" s="36" t="str"/>
    </x:row>
    <x:row r="72">
      <x:c r="A72" s="37" t="n">
        <x:v>46281</x:v>
      </x:c>
      <x:c r="B72" s="36" t="str">
        <x:v>EMP-003</x:v>
      </x:c>
      <x:c r="C72" s="54" t="str">
        <x:f>IFERROR(VLOOKUP(B72,Employees!$A$4:$K$9,2,FALSE),"")</x:f>
        <x:v>Ava Patel</x:v>
      </x:c>
      <x:c r="D72" s="54" t="str">
        <x:f>TEXT(A72,"dddd")</x:f>
        <x:v>Wednesday</x:v>
      </x:c>
      <x:c r="E72" s="56" t="n">
        <x:f>IFERROR(VLOOKUP(D72,'Work Schedule'!$A$4:$F$10,2,FALSE),"")</x:f>
        <x:v>0.3333333333333333</x:v>
      </x:c>
      <x:c r="F72" s="56" t="n">
        <x:f>IFERROR(VLOOKUP(D72,'Work Schedule'!$A$4:$F$10,3,FALSE),"")</x:f>
        <x:v>0.7083333333333334</x:v>
      </x:c>
      <x:c r="G72" s="50" t="n">
        <x:v>0.33055555555555555</x:v>
      </x:c>
      <x:c r="H72" s="50" t="n">
        <x:v>0.7076388888888889</x:v>
      </x:c>
      <x:c r="I72" s="52" t="n">
        <x:v>1</x:v>
      </x:c>
      <x:c r="J72" s="36" t="str">
        <x:v>None</x:v>
      </x:c>
      <x:c r="K72" s="52" t="n">
        <x:v>0</x:v>
      </x:c>
      <x:c r="L72" s="58" t="n">
        <x:f>IFERROR(VLOOKUP(D72,'Work Schedule'!$A$4:$F$10,5,FALSE),0)</x:f>
        <x:v>8</x:v>
      </x:c>
      <x:c r="M72" s="46" t="n">
        <x:f>IF(OR(G72="",H72=""),0,ROUND(MAX(0,(H72-G72)*24-I72),2))</x:f>
        <x:v>8.05</x:v>
      </x:c>
      <x:c r="N72" s="60" t="n">
        <x:f>A72-WEEKDAY(A72,2)+1</x:f>
        <x:v>46279</x:v>
      </x:c>
      <x:c r="O72" s="58" t="n">
        <x:f>ROUND(SUMIFS($M$4:$M$400,$B$4:$B$400,B72,$N$4:$N$400,N72,$A$4:$A$400,"&lt;="&amp;A72),2)</x:f>
        <x:v>24.07</x:v>
      </x:c>
      <x:c r="P72" s="46" t="n">
        <x:f>ROUND(MAX(0,M72-Q72),2)</x:f>
        <x:v>8.05</x:v>
      </x:c>
      <x:c r="Q72" s="46" t="n">
        <x:f>ROUND(MAX(0,O72-Settings!$B$13)-MAX(0,O72-M72-Settings!$B$13),2)</x:f>
        <x:v>0</x:v>
      </x:c>
      <x:c r="R72" s="46" t="n">
        <x:f>ROUND(M72+K72-L72,2)</x:f>
        <x:v>0.05</x:v>
      </x:c>
      <x:c r="S72" t="str">
        <x:f>IF(B72="","",IF(J72&lt;&gt;"None",J72,IF(Q72&gt;0,"Overtime",IF(G72&gt;E72,"Late",IF(H72&lt;F72,"Left Early","On Time")))))</x:f>
        <x:v>Left Early</x:v>
      </x:c>
      <x:c r="T72" s="36" t="str"/>
    </x:row>
    <x:row r="73">
      <x:c r="A73" s="37" t="n">
        <x:v>46282</x:v>
      </x:c>
      <x:c r="B73" s="36" t="str">
        <x:v>EMP-003</x:v>
      </x:c>
      <x:c r="C73" s="54" t="str">
        <x:f>IFERROR(VLOOKUP(B73,Employees!$A$4:$K$9,2,FALSE),"")</x:f>
        <x:v>Ava Patel</x:v>
      </x:c>
      <x:c r="D73" s="54" t="str">
        <x:f>TEXT(A73,"dddd")</x:f>
        <x:v>Thursday</x:v>
      </x:c>
      <x:c r="E73" s="56" t="n">
        <x:f>IFERROR(VLOOKUP(D73,'Work Schedule'!$A$4:$F$10,2,FALSE),"")</x:f>
        <x:v>0.3333333333333333</x:v>
      </x:c>
      <x:c r="F73" s="56" t="n">
        <x:f>IFERROR(VLOOKUP(D73,'Work Schedule'!$A$4:$F$10,3,FALSE),"")</x:f>
        <x:v>0.7083333333333334</x:v>
      </x:c>
      <x:c r="G73" s="50" t="n">
        <x:v>0.3347222222222222</x:v>
      </x:c>
      <x:c r="H73" s="50" t="n">
        <x:v>0.7069444444444445</x:v>
      </x:c>
      <x:c r="I73" s="52" t="n">
        <x:v>1</x:v>
      </x:c>
      <x:c r="J73" s="36" t="str">
        <x:v>None</x:v>
      </x:c>
      <x:c r="K73" s="52" t="n">
        <x:v>0</x:v>
      </x:c>
      <x:c r="L73" s="58" t="n">
        <x:f>IFERROR(VLOOKUP(D73,'Work Schedule'!$A$4:$F$10,5,FALSE),0)</x:f>
        <x:v>8</x:v>
      </x:c>
      <x:c r="M73" s="46" t="n">
        <x:f>IF(OR(G73="",H73=""),0,ROUND(MAX(0,(H73-G73)*24-I73),2))</x:f>
        <x:v>7.93</x:v>
      </x:c>
      <x:c r="N73" s="60" t="n">
        <x:f>A73-WEEKDAY(A73,2)+1</x:f>
        <x:v>46279</x:v>
      </x:c>
      <x:c r="O73" s="58" t="n">
        <x:f>ROUND(SUMIFS($M$4:$M$400,$B$4:$B$400,B73,$N$4:$N$400,N73,$A$4:$A$400,"&lt;="&amp;A73),2)</x:f>
        <x:v>32</x:v>
      </x:c>
      <x:c r="P73" s="46" t="n">
        <x:f>ROUND(MAX(0,M73-Q73),2)</x:f>
        <x:v>7.93</x:v>
      </x:c>
      <x:c r="Q73" s="46" t="n">
        <x:f>ROUND(MAX(0,O73-Settings!$B$13)-MAX(0,O73-M73-Settings!$B$13),2)</x:f>
        <x:v>0</x:v>
      </x:c>
      <x:c r="R73" s="46" t="n">
        <x:f>ROUND(M73+K73-L73,2)</x:f>
        <x:v>-0.07</x:v>
      </x:c>
      <x:c r="S73" t="str">
        <x:f>IF(B73="","",IF(J73&lt;&gt;"None",J73,IF(Q73&gt;0,"Overtime",IF(G73&gt;E73,"Late",IF(H73&lt;F73,"Left Early","On Time")))))</x:f>
        <x:v>Late</x:v>
      </x:c>
      <x:c r="T73" s="36" t="str"/>
    </x:row>
    <x:row r="74">
      <x:c r="A74" s="37" t="n">
        <x:v>46283</x:v>
      </x:c>
      <x:c r="B74" s="36" t="str">
        <x:v>EMP-003</x:v>
      </x:c>
      <x:c r="C74" s="54" t="str">
        <x:f>IFERROR(VLOOKUP(B74,Employees!$A$4:$K$9,2,FALSE),"")</x:f>
        <x:v>Ava Patel</x:v>
      </x:c>
      <x:c r="D74" s="54" t="str">
        <x:f>TEXT(A74,"dddd")</x:f>
        <x:v>Friday</x:v>
      </x:c>
      <x:c r="E74" s="56" t="n">
        <x:f>IFERROR(VLOOKUP(D74,'Work Schedule'!$A$4:$F$10,2,FALSE),"")</x:f>
        <x:v>0.3333333333333333</x:v>
      </x:c>
      <x:c r="F74" s="56" t="n">
        <x:f>IFERROR(VLOOKUP(D74,'Work Schedule'!$A$4:$F$10,3,FALSE),"")</x:f>
        <x:v>0.7083333333333334</x:v>
      </x:c>
      <x:c r="G74" s="50" t="n">
        <x:v>0.33402777777777776</x:v>
      </x:c>
      <x:c r="H74" s="50" t="n">
        <x:v>0.7083333333333334</x:v>
      </x:c>
      <x:c r="I74" s="52" t="n">
        <x:v>1</x:v>
      </x:c>
      <x:c r="J74" s="36" t="str">
        <x:v>None</x:v>
      </x:c>
      <x:c r="K74" s="52" t="n">
        <x:v>0</x:v>
      </x:c>
      <x:c r="L74" s="58" t="n">
        <x:f>IFERROR(VLOOKUP(D74,'Work Schedule'!$A$4:$F$10,5,FALSE),0)</x:f>
        <x:v>8</x:v>
      </x:c>
      <x:c r="M74" s="46" t="n">
        <x:f>IF(OR(G74="",H74=""),0,ROUND(MAX(0,(H74-G74)*24-I74),2))</x:f>
        <x:v>7.98</x:v>
      </x:c>
      <x:c r="N74" s="60" t="n">
        <x:f>A74-WEEKDAY(A74,2)+1</x:f>
        <x:v>46279</x:v>
      </x:c>
      <x:c r="O74" s="58" t="n">
        <x:f>ROUND(SUMIFS($M$4:$M$400,$B$4:$B$400,B74,$N$4:$N$400,N74,$A$4:$A$400,"&lt;="&amp;A74),2)</x:f>
        <x:v>39.98</x:v>
      </x:c>
      <x:c r="P74" s="46" t="n">
        <x:f>ROUND(MAX(0,M74-Q74),2)</x:f>
        <x:v>7.98</x:v>
      </x:c>
      <x:c r="Q74" s="46" t="n">
        <x:f>ROUND(MAX(0,O74-Settings!$B$13)-MAX(0,O74-M74-Settings!$B$13),2)</x:f>
        <x:v>0</x:v>
      </x:c>
      <x:c r="R74" s="46" t="n">
        <x:f>ROUND(M74+K74-L74,2)</x:f>
        <x:v>-0.02</x:v>
      </x:c>
      <x:c r="S74" t="str">
        <x:f>IF(B74="","",IF(J74&lt;&gt;"None",J74,IF(Q74&gt;0,"Overtime",IF(G74&gt;E74,"Late",IF(H74&lt;F74,"Left Early","On Time")))))</x:f>
        <x:v>Late</x:v>
      </x:c>
      <x:c r="T74" s="36" t="str"/>
    </x:row>
    <x:row r="75">
      <x:c r="A75" s="37" t="n">
        <x:v>46284</x:v>
      </x:c>
      <x:c r="B75" s="36" t="str">
        <x:v>EMP-003</x:v>
      </x:c>
      <x:c r="C75" s="54" t="str">
        <x:f>IFERROR(VLOOKUP(B75,Employees!$A$4:$K$9,2,FALSE),"")</x:f>
        <x:v>Ava Patel</x:v>
      </x:c>
      <x:c r="D75" s="54" t="str">
        <x:f>TEXT(A75,"dddd")</x:f>
        <x:v>Saturday</x:v>
      </x:c>
      <x:c r="E75" s="56" t="n">
        <x:f>IFERROR(VLOOKUP(D75,'Work Schedule'!$A$4:$F$10,2,FALSE),"")</x:f>
        <x:v>0.3333333333333333</x:v>
      </x:c>
      <x:c r="F75" s="56" t="n">
        <x:f>IFERROR(VLOOKUP(D75,'Work Schedule'!$A$4:$F$10,3,FALSE),"")</x:f>
        <x:v>0.5833333333333334</x:v>
      </x:c>
      <x:c r="G75" s="50" t="n">
        <x:v>0.3333333333333333</x:v>
      </x:c>
      <x:c r="H75" s="50" t="n">
        <x:v>0.5840277777777778</x:v>
      </x:c>
      <x:c r="I75" s="52" t="n">
        <x:v>1</x:v>
      </x:c>
      <x:c r="J75" s="36" t="str">
        <x:v>None</x:v>
      </x:c>
      <x:c r="K75" s="52" t="n">
        <x:v>0</x:v>
      </x:c>
      <x:c r="L75" s="58" t="n">
        <x:f>IFERROR(VLOOKUP(D75,'Work Schedule'!$A$4:$F$10,5,FALSE),0)</x:f>
        <x:v>5</x:v>
      </x:c>
      <x:c r="M75" s="46" t="n">
        <x:f>IF(OR(G75="",H75=""),0,ROUND(MAX(0,(H75-G75)*24-I75),2))</x:f>
        <x:v>5.02</x:v>
      </x:c>
      <x:c r="N75" s="60" t="n">
        <x:f>A75-WEEKDAY(A75,2)+1</x:f>
        <x:v>46279</x:v>
      </x:c>
      <x:c r="O75" s="58" t="n">
        <x:f>ROUND(SUMIFS($M$4:$M$400,$B$4:$B$400,B75,$N$4:$N$400,N75,$A$4:$A$400,"&lt;="&amp;A75),2)</x:f>
        <x:v>45</x:v>
      </x:c>
      <x:c r="P75" s="46" t="n">
        <x:f>ROUND(MAX(0,M75-Q75),2)</x:f>
        <x:v>4.02</x:v>
      </x:c>
      <x:c r="Q75" s="46" t="n">
        <x:f>ROUND(MAX(0,O75-Settings!$B$13)-MAX(0,O75-M75-Settings!$B$13),2)</x:f>
        <x:v>1</x:v>
      </x:c>
      <x:c r="R75" s="46" t="n">
        <x:f>ROUND(M75+K75-L75,2)</x:f>
        <x:v>0.02</x:v>
      </x:c>
      <x:c r="S75" t="str">
        <x:f>IF(B75="","",IF(J75&lt;&gt;"None",J75,IF(Q75&gt;0,"Overtime",IF(G75&gt;E75,"Late",IF(H75&lt;F75,"Left Early","On Time")))))</x:f>
        <x:v>Overtime</x:v>
      </x:c>
      <x:c r="T75" s="36" t="str"/>
    </x:row>
    <x:row r="76">
      <x:c r="A76" s="37" t="n">
        <x:v>46286</x:v>
      </x:c>
      <x:c r="B76" s="36" t="str">
        <x:v>EMP-003</x:v>
      </x:c>
      <x:c r="C76" s="54" t="str">
        <x:f>IFERROR(VLOOKUP(B76,Employees!$A$4:$K$9,2,FALSE),"")</x:f>
        <x:v>Ava Patel</x:v>
      </x:c>
      <x:c r="D76" s="54" t="str">
        <x:f>TEXT(A76,"dddd")</x:f>
        <x:v>Monday</x:v>
      </x:c>
      <x:c r="E76" s="56" t="n">
        <x:f>IFERROR(VLOOKUP(D76,'Work Schedule'!$A$4:$F$10,2,FALSE),"")</x:f>
        <x:v>0.3333333333333333</x:v>
      </x:c>
      <x:c r="F76" s="56" t="n">
        <x:f>IFERROR(VLOOKUP(D76,'Work Schedule'!$A$4:$F$10,3,FALSE),"")</x:f>
        <x:v>0.7083333333333334</x:v>
      </x:c>
      <x:c r="G76" s="50" t="n">
        <x:v>0.33125</x:v>
      </x:c>
      <x:c r="H76" s="50" t="n">
        <x:v>0.7083333333333334</x:v>
      </x:c>
      <x:c r="I76" s="52" t="n">
        <x:v>1</x:v>
      </x:c>
      <x:c r="J76" s="36" t="str">
        <x:v>None</x:v>
      </x:c>
      <x:c r="K76" s="52" t="n">
        <x:v>0</x:v>
      </x:c>
      <x:c r="L76" s="58" t="n">
        <x:f>IFERROR(VLOOKUP(D76,'Work Schedule'!$A$4:$F$10,5,FALSE),0)</x:f>
        <x:v>8</x:v>
      </x:c>
      <x:c r="M76" s="46" t="n">
        <x:f>IF(OR(G76="",H76=""),0,ROUND(MAX(0,(H76-G76)*24-I76),2))</x:f>
        <x:v>8.05</x:v>
      </x:c>
      <x:c r="N76" s="60" t="n">
        <x:f>A76-WEEKDAY(A76,2)+1</x:f>
        <x:v>46286</x:v>
      </x:c>
      <x:c r="O76" s="58" t="n">
        <x:f>ROUND(SUMIFS($M$4:$M$400,$B$4:$B$400,B76,$N$4:$N$400,N76,$A$4:$A$400,"&lt;="&amp;A76),2)</x:f>
        <x:v>8.05</x:v>
      </x:c>
      <x:c r="P76" s="46" t="n">
        <x:f>ROUND(MAX(0,M76-Q76),2)</x:f>
        <x:v>8.05</x:v>
      </x:c>
      <x:c r="Q76" s="46" t="n">
        <x:f>ROUND(MAX(0,O76-Settings!$B$13)-MAX(0,O76-M76-Settings!$B$13),2)</x:f>
        <x:v>0</x:v>
      </x:c>
      <x:c r="R76" s="46" t="n">
        <x:f>ROUND(M76+K76-L76,2)</x:f>
        <x:v>0.05</x:v>
      </x:c>
      <x:c r="S76" t="str">
        <x:f>IF(B76="","",IF(J76&lt;&gt;"None",J76,IF(Q76&gt;0,"Overtime",IF(G76&gt;E76,"Late",IF(H76&lt;F76,"Left Early","On Time")))))</x:f>
        <x:v>On Time</x:v>
      </x:c>
      <x:c r="T76" s="36" t="str"/>
    </x:row>
    <x:row r="77">
      <x:c r="A77" s="37" t="n">
        <x:v>46287</x:v>
      </x:c>
      <x:c r="B77" s="36" t="str">
        <x:v>EMP-003</x:v>
      </x:c>
      <x:c r="C77" s="54" t="str">
        <x:f>IFERROR(VLOOKUP(B77,Employees!$A$4:$K$9,2,FALSE),"")</x:f>
        <x:v>Ava Patel</x:v>
      </x:c>
      <x:c r="D77" s="54" t="str">
        <x:f>TEXT(A77,"dddd")</x:f>
        <x:v>Tuesday</x:v>
      </x:c>
      <x:c r="E77" s="56" t="n">
        <x:f>IFERROR(VLOOKUP(D77,'Work Schedule'!$A$4:$F$10,2,FALSE),"")</x:f>
        <x:v>0.3333333333333333</x:v>
      </x:c>
      <x:c r="F77" s="56" t="n">
        <x:f>IFERROR(VLOOKUP(D77,'Work Schedule'!$A$4:$F$10,3,FALSE),"")</x:f>
        <x:v>0.7083333333333334</x:v>
      </x:c>
      <x:c r="G77" s="50" t="n">
        <x:v>0.33402777777777776</x:v>
      </x:c>
      <x:c r="H77" s="50" t="n">
        <x:v>0.7090277777777778</x:v>
      </x:c>
      <x:c r="I77" s="52" t="n">
        <x:v>1</x:v>
      </x:c>
      <x:c r="J77" s="36" t="str">
        <x:v>None</x:v>
      </x:c>
      <x:c r="K77" s="52" t="n">
        <x:v>0</x:v>
      </x:c>
      <x:c r="L77" s="58" t="n">
        <x:f>IFERROR(VLOOKUP(D77,'Work Schedule'!$A$4:$F$10,5,FALSE),0)</x:f>
        <x:v>8</x:v>
      </x:c>
      <x:c r="M77" s="46" t="n">
        <x:f>IF(OR(G77="",H77=""),0,ROUND(MAX(0,(H77-G77)*24-I77),2))</x:f>
        <x:v>8</x:v>
      </x:c>
      <x:c r="N77" s="60" t="n">
        <x:f>A77-WEEKDAY(A77,2)+1</x:f>
        <x:v>46286</x:v>
      </x:c>
      <x:c r="O77" s="58" t="n">
        <x:f>ROUND(SUMIFS($M$4:$M$400,$B$4:$B$400,B77,$N$4:$N$400,N77,$A$4:$A$400,"&lt;="&amp;A77),2)</x:f>
        <x:v>16.05</x:v>
      </x:c>
      <x:c r="P77" s="46" t="n">
        <x:f>ROUND(MAX(0,M77-Q77),2)</x:f>
        <x:v>8</x:v>
      </x:c>
      <x:c r="Q77" s="46" t="n">
        <x:f>ROUND(MAX(0,O77-Settings!$B$13)-MAX(0,O77-M77-Settings!$B$13),2)</x:f>
        <x:v>0</x:v>
      </x:c>
      <x:c r="R77" s="46" t="n">
        <x:f>ROUND(M77+K77-L77,2)</x:f>
        <x:v>0</x:v>
      </x:c>
      <x:c r="S77" t="str">
        <x:f>IF(B77="","",IF(J77&lt;&gt;"None",J77,IF(Q77&gt;0,"Overtime",IF(G77&gt;E77,"Late",IF(H77&lt;F77,"Left Early","On Time")))))</x:f>
        <x:v>Late</x:v>
      </x:c>
      <x:c r="T77" s="36" t="str"/>
    </x:row>
    <x:row r="78">
      <x:c r="A78" s="37" t="n">
        <x:v>46288</x:v>
      </x:c>
      <x:c r="B78" s="36" t="str">
        <x:v>EMP-003</x:v>
      </x:c>
      <x:c r="C78" s="54" t="str">
        <x:f>IFERROR(VLOOKUP(B78,Employees!$A$4:$K$9,2,FALSE),"")</x:f>
        <x:v>Ava Patel</x:v>
      </x:c>
      <x:c r="D78" s="54" t="str">
        <x:f>TEXT(A78,"dddd")</x:f>
        <x:v>Wednesday</x:v>
      </x:c>
      <x:c r="E78" s="56" t="n">
        <x:f>IFERROR(VLOOKUP(D78,'Work Schedule'!$A$4:$F$10,2,FALSE),"")</x:f>
        <x:v>0.3333333333333333</x:v>
      </x:c>
      <x:c r="F78" s="56" t="n">
        <x:f>IFERROR(VLOOKUP(D78,'Work Schedule'!$A$4:$F$10,3,FALSE),"")</x:f>
        <x:v>0.7083333333333334</x:v>
      </x:c>
      <x:c r="G78" s="50" t="n">
        <x:v>0.33125</x:v>
      </x:c>
      <x:c r="H78" s="50" t="n">
        <x:v>0.7104166666666667</x:v>
      </x:c>
      <x:c r="I78" s="52" t="n">
        <x:v>1</x:v>
      </x:c>
      <x:c r="J78" s="36" t="str">
        <x:v>None</x:v>
      </x:c>
      <x:c r="K78" s="52" t="n">
        <x:v>0</x:v>
      </x:c>
      <x:c r="L78" s="58" t="n">
        <x:f>IFERROR(VLOOKUP(D78,'Work Schedule'!$A$4:$F$10,5,FALSE),0)</x:f>
        <x:v>8</x:v>
      </x:c>
      <x:c r="M78" s="46" t="n">
        <x:f>IF(OR(G78="",H78=""),0,ROUND(MAX(0,(H78-G78)*24-I78),2))</x:f>
        <x:v>8.1</x:v>
      </x:c>
      <x:c r="N78" s="60" t="n">
        <x:f>A78-WEEKDAY(A78,2)+1</x:f>
        <x:v>46286</x:v>
      </x:c>
      <x:c r="O78" s="58" t="n">
        <x:f>ROUND(SUMIFS($M$4:$M$400,$B$4:$B$400,B78,$N$4:$N$400,N78,$A$4:$A$400,"&lt;="&amp;A78),2)</x:f>
        <x:v>24.15</x:v>
      </x:c>
      <x:c r="P78" s="46" t="n">
        <x:f>ROUND(MAX(0,M78-Q78),2)</x:f>
        <x:v>8.1</x:v>
      </x:c>
      <x:c r="Q78" s="46" t="n">
        <x:f>ROUND(MAX(0,O78-Settings!$B$13)-MAX(0,O78-M78-Settings!$B$13),2)</x:f>
        <x:v>0</x:v>
      </x:c>
      <x:c r="R78" s="46" t="n">
        <x:f>ROUND(M78+K78-L78,2)</x:f>
        <x:v>0.1</x:v>
      </x:c>
      <x:c r="S78" t="str">
        <x:f>IF(B78="","",IF(J78&lt;&gt;"None",J78,IF(Q78&gt;0,"Overtime",IF(G78&gt;E78,"Late",IF(H78&lt;F78,"Left Early","On Time")))))</x:f>
        <x:v>On Time</x:v>
      </x:c>
      <x:c r="T78" s="36" t="str"/>
    </x:row>
    <x:row r="79">
      <x:c r="A79" s="37" t="n">
        <x:v>46289</x:v>
      </x:c>
      <x:c r="B79" s="36" t="str">
        <x:v>EMP-003</x:v>
      </x:c>
      <x:c r="C79" s="54" t="str">
        <x:f>IFERROR(VLOOKUP(B79,Employees!$A$4:$K$9,2,FALSE),"")</x:f>
        <x:v>Ava Patel</x:v>
      </x:c>
      <x:c r="D79" s="54" t="str">
        <x:f>TEXT(A79,"dddd")</x:f>
        <x:v>Thursday</x:v>
      </x:c>
      <x:c r="E79" s="56" t="n">
        <x:f>IFERROR(VLOOKUP(D79,'Work Schedule'!$A$4:$F$10,2,FALSE),"")</x:f>
        <x:v>0.3333333333333333</x:v>
      </x:c>
      <x:c r="F79" s="56" t="n">
        <x:f>IFERROR(VLOOKUP(D79,'Work Schedule'!$A$4:$F$10,3,FALSE),"")</x:f>
        <x:v>0.7083333333333334</x:v>
      </x:c>
      <x:c r="G79" s="50" t="n">
        <x:v>0.33819444444444446</x:v>
      </x:c>
      <x:c r="H79" s="50" t="n">
        <x:v>0.7125</x:v>
      </x:c>
      <x:c r="I79" s="52" t="n">
        <x:v>1</x:v>
      </x:c>
      <x:c r="J79" s="36" t="str">
        <x:v>None</x:v>
      </x:c>
      <x:c r="K79" s="52" t="n">
        <x:v>0</x:v>
      </x:c>
      <x:c r="L79" s="58" t="n">
        <x:f>IFERROR(VLOOKUP(D79,'Work Schedule'!$A$4:$F$10,5,FALSE),0)</x:f>
        <x:v>8</x:v>
      </x:c>
      <x:c r="M79" s="46" t="n">
        <x:f>IF(OR(G79="",H79=""),0,ROUND(MAX(0,(H79-G79)*24-I79),2))</x:f>
        <x:v>7.98</x:v>
      </x:c>
      <x:c r="N79" s="60" t="n">
        <x:f>A79-WEEKDAY(A79,2)+1</x:f>
        <x:v>46286</x:v>
      </x:c>
      <x:c r="O79" s="58" t="n">
        <x:f>ROUND(SUMIFS($M$4:$M$400,$B$4:$B$400,B79,$N$4:$N$400,N79,$A$4:$A$400,"&lt;="&amp;A79),2)</x:f>
        <x:v>32.13</x:v>
      </x:c>
      <x:c r="P79" s="46" t="n">
        <x:f>ROUND(MAX(0,M79-Q79),2)</x:f>
        <x:v>7.98</x:v>
      </x:c>
      <x:c r="Q79" s="46" t="n">
        <x:f>ROUND(MAX(0,O79-Settings!$B$13)-MAX(0,O79-M79-Settings!$B$13),2)</x:f>
        <x:v>0</x:v>
      </x:c>
      <x:c r="R79" s="46" t="n">
        <x:f>ROUND(M79+K79-L79,2)</x:f>
        <x:v>-0.02</x:v>
      </x:c>
      <x:c r="S79" t="str">
        <x:f>IF(B79="","",IF(J79&lt;&gt;"None",J79,IF(Q79&gt;0,"Overtime",IF(G79&gt;E79,"Late",IF(H79&lt;F79,"Left Early","On Time")))))</x:f>
        <x:v>Late</x:v>
      </x:c>
      <x:c r="T79" s="36" t="str">
        <x:v>Arrived 7 minutes late due to transit delay.</x:v>
      </x:c>
    </x:row>
    <x:row r="80">
      <x:c r="A80" s="37" t="n">
        <x:v>46290</x:v>
      </x:c>
      <x:c r="B80" s="36" t="str">
        <x:v>EMP-003</x:v>
      </x:c>
      <x:c r="C80" s="54" t="str">
        <x:f>IFERROR(VLOOKUP(B80,Employees!$A$4:$K$9,2,FALSE),"")</x:f>
        <x:v>Ava Patel</x:v>
      </x:c>
      <x:c r="D80" s="54" t="str">
        <x:f>TEXT(A80,"dddd")</x:f>
        <x:v>Friday</x:v>
      </x:c>
      <x:c r="E80" s="56" t="n">
        <x:f>IFERROR(VLOOKUP(D80,'Work Schedule'!$A$4:$F$10,2,FALSE),"")</x:f>
        <x:v>0.3333333333333333</x:v>
      </x:c>
      <x:c r="F80" s="56" t="n">
        <x:f>IFERROR(VLOOKUP(D80,'Work Schedule'!$A$4:$F$10,3,FALSE),"")</x:f>
        <x:v>0.7083333333333334</x:v>
      </x:c>
      <x:c r="G80" s="50" t="n">
        <x:v>0.33402777777777776</x:v>
      </x:c>
      <x:c r="H80" s="50" t="n">
        <x:v>0.7125</x:v>
      </x:c>
      <x:c r="I80" s="52" t="n">
        <x:v>1</x:v>
      </x:c>
      <x:c r="J80" s="36" t="str">
        <x:v>None</x:v>
      </x:c>
      <x:c r="K80" s="52" t="n">
        <x:v>0</x:v>
      </x:c>
      <x:c r="L80" s="58" t="n">
        <x:f>IFERROR(VLOOKUP(D80,'Work Schedule'!$A$4:$F$10,5,FALSE),0)</x:f>
        <x:v>8</x:v>
      </x:c>
      <x:c r="M80" s="46" t="n">
        <x:f>IF(OR(G80="",H80=""),0,ROUND(MAX(0,(H80-G80)*24-I80),2))</x:f>
        <x:v>8.08</x:v>
      </x:c>
      <x:c r="N80" s="60" t="n">
        <x:f>A80-WEEKDAY(A80,2)+1</x:f>
        <x:v>46286</x:v>
      </x:c>
      <x:c r="O80" s="58" t="n">
        <x:f>ROUND(SUMIFS($M$4:$M$400,$B$4:$B$400,B80,$N$4:$N$400,N80,$A$4:$A$400,"&lt;="&amp;A80),2)</x:f>
        <x:v>40.21</x:v>
      </x:c>
      <x:c r="P80" s="46" t="n">
        <x:f>ROUND(MAX(0,M80-Q80),2)</x:f>
        <x:v>8.08</x:v>
      </x:c>
      <x:c r="Q80" s="46" t="n">
        <x:f>ROUND(MAX(0,O80-Settings!$B$13)-MAX(0,O80-M80-Settings!$B$13),2)</x:f>
        <x:v>0</x:v>
      </x:c>
      <x:c r="R80" s="46" t="n">
        <x:f>ROUND(M80+K80-L80,2)</x:f>
        <x:v>0.08</x:v>
      </x:c>
      <x:c r="S80" t="str">
        <x:f>IF(B80="","",IF(J80&lt;&gt;"None",J80,IF(Q80&gt;0,"Overtime",IF(G80&gt;E80,"Late",IF(H80&lt;F80,"Left Early","On Time")))))</x:f>
        <x:v>Late</x:v>
      </x:c>
      <x:c r="T80" s="36" t="str"/>
    </x:row>
    <x:row r="81">
      <x:c r="A81" s="37" t="n">
        <x:v>46291</x:v>
      </x:c>
      <x:c r="B81" s="36" t="str">
        <x:v>EMP-003</x:v>
      </x:c>
      <x:c r="C81" s="54" t="str">
        <x:f>IFERROR(VLOOKUP(B81,Employees!$A$4:$K$9,2,FALSE),"")</x:f>
        <x:v>Ava Patel</x:v>
      </x:c>
      <x:c r="D81" s="54" t="str">
        <x:f>TEXT(A81,"dddd")</x:f>
        <x:v>Saturday</x:v>
      </x:c>
      <x:c r="E81" s="56" t="n">
        <x:f>IFERROR(VLOOKUP(D81,'Work Schedule'!$A$4:$F$10,2,FALSE),"")</x:f>
        <x:v>0.3333333333333333</x:v>
      </x:c>
      <x:c r="F81" s="56" t="n">
        <x:f>IFERROR(VLOOKUP(D81,'Work Schedule'!$A$4:$F$10,3,FALSE),"")</x:f>
        <x:v>0.5833333333333334</x:v>
      </x:c>
      <x:c r="G81" s="50" t="n">
        <x:v>0.3326388888888889</x:v>
      </x:c>
      <x:c r="H81" s="50" t="n">
        <x:v>0.5833333333333334</x:v>
      </x:c>
      <x:c r="I81" s="52" t="n">
        <x:v>1</x:v>
      </x:c>
      <x:c r="J81" s="36" t="str">
        <x:v>None</x:v>
      </x:c>
      <x:c r="K81" s="52" t="n">
        <x:v>0</x:v>
      </x:c>
      <x:c r="L81" s="58" t="n">
        <x:f>IFERROR(VLOOKUP(D81,'Work Schedule'!$A$4:$F$10,5,FALSE),0)</x:f>
        <x:v>5</x:v>
      </x:c>
      <x:c r="M81" s="46" t="n">
        <x:f>IF(OR(G81="",H81=""),0,ROUND(MAX(0,(H81-G81)*24-I81),2))</x:f>
        <x:v>5.02</x:v>
      </x:c>
      <x:c r="N81" s="60" t="n">
        <x:f>A81-WEEKDAY(A81,2)+1</x:f>
        <x:v>46286</x:v>
      </x:c>
      <x:c r="O81" s="58" t="n">
        <x:f>ROUND(SUMIFS($M$4:$M$400,$B$4:$B$400,B81,$N$4:$N$400,N81,$A$4:$A$400,"&lt;="&amp;A81),2)</x:f>
        <x:v>45.23</x:v>
      </x:c>
      <x:c r="P81" s="46" t="n">
        <x:f>ROUND(MAX(0,M81-Q81),2)</x:f>
        <x:v>3.79</x:v>
      </x:c>
      <x:c r="Q81" s="46" t="n">
        <x:f>ROUND(MAX(0,O81-Settings!$B$13)-MAX(0,O81-M81-Settings!$B$13),2)</x:f>
        <x:v>1.23</x:v>
      </x:c>
      <x:c r="R81" s="46" t="n">
        <x:f>ROUND(M81+K81-L81,2)</x:f>
        <x:v>0.02</x:v>
      </x:c>
      <x:c r="S81" t="str">
        <x:f>IF(B81="","",IF(J81&lt;&gt;"None",J81,IF(Q81&gt;0,"Overtime",IF(G81&gt;E81,"Late",IF(H81&lt;F81,"Left Early","On Time")))))</x:f>
        <x:v>Overtime</x:v>
      </x:c>
      <x:c r="T81" s="36" t="str"/>
    </x:row>
    <x:row r="82">
      <x:c r="A82" s="37" t="n">
        <x:v>46293</x:v>
      </x:c>
      <x:c r="B82" s="36" t="str">
        <x:v>EMP-003</x:v>
      </x:c>
      <x:c r="C82" s="54" t="str">
        <x:f>IFERROR(VLOOKUP(B82,Employees!$A$4:$K$9,2,FALSE),"")</x:f>
        <x:v>Ava Patel</x:v>
      </x:c>
      <x:c r="D82" s="54" t="str">
        <x:f>TEXT(A82,"dddd")</x:f>
        <x:v>Monday</x:v>
      </x:c>
      <x:c r="E82" s="56" t="n">
        <x:f>IFERROR(VLOOKUP(D82,'Work Schedule'!$A$4:$F$10,2,FALSE),"")</x:f>
        <x:v>0.3333333333333333</x:v>
      </x:c>
      <x:c r="F82" s="56" t="n">
        <x:f>IFERROR(VLOOKUP(D82,'Work Schedule'!$A$4:$F$10,3,FALSE),"")</x:f>
        <x:v>0.7083333333333334</x:v>
      </x:c>
      <x:c r="G82" s="50" t="n">
        <x:v>0.3333333333333333</x:v>
      </x:c>
      <x:c r="H82" s="50" t="n">
        <x:v>0.7083333333333334</x:v>
      </x:c>
      <x:c r="I82" s="52" t="n">
        <x:v>1</x:v>
      </x:c>
      <x:c r="J82" s="36" t="str">
        <x:v>None</x:v>
      </x:c>
      <x:c r="K82" s="52" t="n">
        <x:v>0</x:v>
      </x:c>
      <x:c r="L82" s="58" t="n">
        <x:f>IFERROR(VLOOKUP(D82,'Work Schedule'!$A$4:$F$10,5,FALSE),0)</x:f>
        <x:v>8</x:v>
      </x:c>
      <x:c r="M82" s="46" t="n">
        <x:f>IF(OR(G82="",H82=""),0,ROUND(MAX(0,(H82-G82)*24-I82),2))</x:f>
        <x:v>8</x:v>
      </x:c>
      <x:c r="N82" s="60" t="n">
        <x:f>A82-WEEKDAY(A82,2)+1</x:f>
        <x:v>46293</x:v>
      </x:c>
      <x:c r="O82" s="58" t="n">
        <x:f>ROUND(SUMIFS($M$4:$M$400,$B$4:$B$400,B82,$N$4:$N$400,N82,$A$4:$A$400,"&lt;="&amp;A82),2)</x:f>
        <x:v>8</x:v>
      </x:c>
      <x:c r="P82" s="46" t="n">
        <x:f>ROUND(MAX(0,M82-Q82),2)</x:f>
        <x:v>8</x:v>
      </x:c>
      <x:c r="Q82" s="46" t="n">
        <x:f>ROUND(MAX(0,O82-Settings!$B$13)-MAX(0,O82-M82-Settings!$B$13),2)</x:f>
        <x:v>0</x:v>
      </x:c>
      <x:c r="R82" s="46" t="n">
        <x:f>ROUND(M82+K82-L82,2)</x:f>
        <x:v>0</x:v>
      </x:c>
      <x:c r="S82" t="str">
        <x:f>IF(B82="","",IF(J82&lt;&gt;"None",J82,IF(Q82&gt;0,"Overtime",IF(G82&gt;E82,"Late",IF(H82&lt;F82,"Left Early","On Time")))))</x:f>
        <x:v>On Time</x:v>
      </x:c>
      <x:c r="T82" s="36" t="str"/>
    </x:row>
    <x:row r="83">
      <x:c r="A83" s="37" t="n">
        <x:v>46294</x:v>
      </x:c>
      <x:c r="B83" s="36" t="str">
        <x:v>EMP-003</x:v>
      </x:c>
      <x:c r="C83" s="54" t="str">
        <x:f>IFERROR(VLOOKUP(B83,Employees!$A$4:$K$9,2,FALSE),"")</x:f>
        <x:v>Ava Patel</x:v>
      </x:c>
      <x:c r="D83" s="54" t="str">
        <x:f>TEXT(A83,"dddd")</x:f>
        <x:v>Tuesday</x:v>
      </x:c>
      <x:c r="E83" s="56" t="n">
        <x:f>IFERROR(VLOOKUP(D83,'Work Schedule'!$A$4:$F$10,2,FALSE),"")</x:f>
        <x:v>0.3333333333333333</x:v>
      </x:c>
      <x:c r="F83" s="56" t="n">
        <x:f>IFERROR(VLOOKUP(D83,'Work Schedule'!$A$4:$F$10,3,FALSE),"")</x:f>
        <x:v>0.7083333333333334</x:v>
      </x:c>
      <x:c r="G83" s="50" t="n">
        <x:v>0.3333333333333333</x:v>
      </x:c>
      <x:c r="H83" s="50" t="n">
        <x:v>0.6875</x:v>
      </x:c>
      <x:c r="I83" s="52" t="n">
        <x:v>1</x:v>
      </x:c>
      <x:c r="J83" s="36" t="str">
        <x:v>Paid Leave</x:v>
      </x:c>
      <x:c r="K83" s="52" t="n">
        <x:v>0.5</x:v>
      </x:c>
      <x:c r="L83" s="58" t="n">
        <x:f>IFERROR(VLOOKUP(D83,'Work Schedule'!$A$4:$F$10,5,FALSE),0)</x:f>
        <x:v>8</x:v>
      </x:c>
      <x:c r="M83" s="46" t="n">
        <x:f>IF(OR(G83="",H83=""),0,ROUND(MAX(0,(H83-G83)*24-I83),2))</x:f>
        <x:v>7.5</x:v>
      </x:c>
      <x:c r="N83" s="60" t="n">
        <x:f>A83-WEEKDAY(A83,2)+1</x:f>
        <x:v>46293</x:v>
      </x:c>
      <x:c r="O83" s="58" t="n">
        <x:f>ROUND(SUMIFS($M$4:$M$400,$B$4:$B$400,B83,$N$4:$N$400,N83,$A$4:$A$400,"&lt;="&amp;A83),2)</x:f>
        <x:v>15.5</x:v>
      </x:c>
      <x:c r="P83" s="46" t="n">
        <x:f>ROUND(MAX(0,M83-Q83),2)</x:f>
        <x:v>7.5</x:v>
      </x:c>
      <x:c r="Q83" s="46" t="n">
        <x:f>ROUND(MAX(0,O83-Settings!$B$13)-MAX(0,O83-M83-Settings!$B$13),2)</x:f>
        <x:v>0</x:v>
      </x:c>
      <x:c r="R83" s="46" t="n">
        <x:f>ROUND(M83+K83-L83,2)</x:f>
        <x:v>0</x:v>
      </x:c>
      <x:c r="S83" t="str">
        <x:f>IF(B83="","",IF(J83&lt;&gt;"None",J83,IF(Q83&gt;0,"Overtime",IF(G83&gt;E83,"Late",IF(H83&lt;F83,"Left Early","On Time")))))</x:f>
        <x:v>Paid Leave</x:v>
      </x:c>
      <x:c r="T83" s="36" t="str">
        <x:v>Approved 30-minute paid leave at end of day.</x:v>
      </x:c>
    </x:row>
    <x:row r="84">
      <x:c r="A84" s="37" t="n">
        <x:v>46295</x:v>
      </x:c>
      <x:c r="B84" s="36" t="str">
        <x:v>EMP-003</x:v>
      </x:c>
      <x:c r="C84" s="54" t="str">
        <x:f>IFERROR(VLOOKUP(B84,Employees!$A$4:$K$9,2,FALSE),"")</x:f>
        <x:v>Ava Patel</x:v>
      </x:c>
      <x:c r="D84" s="54" t="str">
        <x:f>TEXT(A84,"dddd")</x:f>
        <x:v>Wednesday</x:v>
      </x:c>
      <x:c r="E84" s="56" t="n">
        <x:f>IFERROR(VLOOKUP(D84,'Work Schedule'!$A$4:$F$10,2,FALSE),"")</x:f>
        <x:v>0.3333333333333333</x:v>
      </x:c>
      <x:c r="F84" s="56" t="n">
        <x:f>IFERROR(VLOOKUP(D84,'Work Schedule'!$A$4:$F$10,3,FALSE),"")</x:f>
        <x:v>0.7083333333333334</x:v>
      </x:c>
      <x:c r="G84" s="50" t="n">
        <x:v>0.3333333333333333</x:v>
      </x:c>
      <x:c r="H84" s="50" t="n">
        <x:v>0.7083333333333334</x:v>
      </x:c>
      <x:c r="I84" s="52" t="n">
        <x:v>1</x:v>
      </x:c>
      <x:c r="J84" s="36" t="str">
        <x:v>None</x:v>
      </x:c>
      <x:c r="K84" s="52" t="n">
        <x:v>0</x:v>
      </x:c>
      <x:c r="L84" s="58" t="n">
        <x:f>IFERROR(VLOOKUP(D84,'Work Schedule'!$A$4:$F$10,5,FALSE),0)</x:f>
        <x:v>8</x:v>
      </x:c>
      <x:c r="M84" s="46" t="n">
        <x:f>IF(OR(G84="",H84=""),0,ROUND(MAX(0,(H84-G84)*24-I84),2))</x:f>
        <x:v>8</x:v>
      </x:c>
      <x:c r="N84" s="60" t="n">
        <x:f>A84-WEEKDAY(A84,2)+1</x:f>
        <x:v>46293</x:v>
      </x:c>
      <x:c r="O84" s="58" t="n">
        <x:f>ROUND(SUMIFS($M$4:$M$400,$B$4:$B$400,B84,$N$4:$N$400,N84,$A$4:$A$400,"&lt;="&amp;A84),2)</x:f>
        <x:v>23.5</x:v>
      </x:c>
      <x:c r="P84" s="46" t="n">
        <x:f>ROUND(MAX(0,M84-Q84),2)</x:f>
        <x:v>8</x:v>
      </x:c>
      <x:c r="Q84" s="46" t="n">
        <x:f>ROUND(MAX(0,O84-Settings!$B$13)-MAX(0,O84-M84-Settings!$B$13),2)</x:f>
        <x:v>0</x:v>
      </x:c>
      <x:c r="R84" s="46" t="n">
        <x:f>ROUND(M84+K84-L84,2)</x:f>
        <x:v>0</x:v>
      </x:c>
      <x:c r="S84" t="str">
        <x:f>IF(B84="","",IF(J84&lt;&gt;"None",J84,IF(Q84&gt;0,"Overtime",IF(G84&gt;E84,"Late",IF(H84&lt;F84,"Left Early","On Time")))))</x:f>
        <x:v>On Time</x:v>
      </x:c>
      <x:c r="T84" s="36" t="str"/>
    </x:row>
    <x:row r="85">
      <x:c r="A85" s="37" t="n">
        <x:v>46265</x:v>
      </x:c>
      <x:c r="B85" s="36" t="str">
        <x:v>EMP-004</x:v>
      </x:c>
      <x:c r="C85" s="54" t="str">
        <x:f>IFERROR(VLOOKUP(B85,Employees!$A$4:$K$9,2,FALSE),"")</x:f>
        <x:v>Noah Williams</x:v>
      </x:c>
      <x:c r="D85" s="54" t="str">
        <x:f>TEXT(A85,"dddd")</x:f>
        <x:v>Monday</x:v>
      </x:c>
      <x:c r="E85" s="56" t="n">
        <x:f>IFERROR(VLOOKUP(D85,'Work Schedule'!$A$4:$F$10,2,FALSE),"")</x:f>
        <x:v>0.3333333333333333</x:v>
      </x:c>
      <x:c r="F85" s="56" t="n">
        <x:f>IFERROR(VLOOKUP(D85,'Work Schedule'!$A$4:$F$10,3,FALSE),"")</x:f>
        <x:v>0.7083333333333334</x:v>
      </x:c>
      <x:c r="G85" s="50" t="n">
        <x:v>0.3333333333333333</x:v>
      </x:c>
      <x:c r="H85" s="50" t="n">
        <x:v>0.7097222222222223</x:v>
      </x:c>
      <x:c r="I85" s="52" t="n">
        <x:v>1</x:v>
      </x:c>
      <x:c r="J85" s="36" t="str">
        <x:v>None</x:v>
      </x:c>
      <x:c r="K85" s="52" t="n">
        <x:v>0</x:v>
      </x:c>
      <x:c r="L85" s="58" t="n">
        <x:f>IFERROR(VLOOKUP(D85,'Work Schedule'!$A$4:$F$10,5,FALSE),0)</x:f>
        <x:v>8</x:v>
      </x:c>
      <x:c r="M85" s="46" t="n">
        <x:f>IF(OR(G85="",H85=""),0,ROUND(MAX(0,(H85-G85)*24-I85),2))</x:f>
        <x:v>8.03</x:v>
      </x:c>
      <x:c r="N85" s="60" t="n">
        <x:f>A85-WEEKDAY(A85,2)+1</x:f>
        <x:v>46265</x:v>
      </x:c>
      <x:c r="O85" s="58" t="n">
        <x:f>ROUND(SUMIFS($M$4:$M$400,$B$4:$B$400,B85,$N$4:$N$400,N85,$A$4:$A$400,"&lt;="&amp;A85),2)</x:f>
        <x:v>8.03</x:v>
      </x:c>
      <x:c r="P85" s="46" t="n">
        <x:f>ROUND(MAX(0,M85-Q85),2)</x:f>
        <x:v>8.03</x:v>
      </x:c>
      <x:c r="Q85" s="46" t="n">
        <x:f>ROUND(MAX(0,O85-Settings!$B$13)-MAX(0,O85-M85-Settings!$B$13),2)</x:f>
        <x:v>0</x:v>
      </x:c>
      <x:c r="R85" s="46" t="n">
        <x:f>ROUND(M85+K85-L85,2)</x:f>
        <x:v>0.03</x:v>
      </x:c>
      <x:c r="S85" t="str">
        <x:f>IF(B85="","",IF(J85&lt;&gt;"None",J85,IF(Q85&gt;0,"Overtime",IF(G85&gt;E85,"Late",IF(H85&lt;F85,"Left Early","On Time")))))</x:f>
        <x:v>On Time</x:v>
      </x:c>
      <x:c r="T85" s="36" t="str"/>
    </x:row>
    <x:row r="86">
      <x:c r="A86" s="37" t="n">
        <x:v>46266</x:v>
      </x:c>
      <x:c r="B86" s="36" t="str">
        <x:v>EMP-004</x:v>
      </x:c>
      <x:c r="C86" s="54" t="str">
        <x:f>IFERROR(VLOOKUP(B86,Employees!$A$4:$K$9,2,FALSE),"")</x:f>
        <x:v>Noah Williams</x:v>
      </x:c>
      <x:c r="D86" s="54" t="str">
        <x:f>TEXT(A86,"dddd")</x:f>
        <x:v>Tuesday</x:v>
      </x:c>
      <x:c r="E86" s="56" t="n">
        <x:f>IFERROR(VLOOKUP(D86,'Work Schedule'!$A$4:$F$10,2,FALSE),"")</x:f>
        <x:v>0.3333333333333333</x:v>
      </x:c>
      <x:c r="F86" s="56" t="n">
        <x:f>IFERROR(VLOOKUP(D86,'Work Schedule'!$A$4:$F$10,3,FALSE),"")</x:f>
        <x:v>0.7083333333333334</x:v>
      </x:c>
      <x:c r="G86" s="50" t="n">
        <x:v>0.3326388888888889</x:v>
      </x:c>
      <x:c r="H86" s="50" t="n">
        <x:v>0.7118055555555556</x:v>
      </x:c>
      <x:c r="I86" s="52" t="n">
        <x:v>1</x:v>
      </x:c>
      <x:c r="J86" s="36" t="str">
        <x:v>None</x:v>
      </x:c>
      <x:c r="K86" s="52" t="n">
        <x:v>0</x:v>
      </x:c>
      <x:c r="L86" s="58" t="n">
        <x:f>IFERROR(VLOOKUP(D86,'Work Schedule'!$A$4:$F$10,5,FALSE),0)</x:f>
        <x:v>8</x:v>
      </x:c>
      <x:c r="M86" s="46" t="n">
        <x:f>IF(OR(G86="",H86=""),0,ROUND(MAX(0,(H86-G86)*24-I86),2))</x:f>
        <x:v>8.1</x:v>
      </x:c>
      <x:c r="N86" s="60" t="n">
        <x:f>A86-WEEKDAY(A86,2)+1</x:f>
        <x:v>46265</x:v>
      </x:c>
      <x:c r="O86" s="58" t="n">
        <x:f>ROUND(SUMIFS($M$4:$M$400,$B$4:$B$400,B86,$N$4:$N$400,N86,$A$4:$A$400,"&lt;="&amp;A86),2)</x:f>
        <x:v>16.13</x:v>
      </x:c>
      <x:c r="P86" s="46" t="n">
        <x:f>ROUND(MAX(0,M86-Q86),2)</x:f>
        <x:v>8.1</x:v>
      </x:c>
      <x:c r="Q86" s="46" t="n">
        <x:f>ROUND(MAX(0,O86-Settings!$B$13)-MAX(0,O86-M86-Settings!$B$13),2)</x:f>
        <x:v>0</x:v>
      </x:c>
      <x:c r="R86" s="46" t="n">
        <x:f>ROUND(M86+K86-L86,2)</x:f>
        <x:v>0.1</x:v>
      </x:c>
      <x:c r="S86" t="str">
        <x:f>IF(B86="","",IF(J86&lt;&gt;"None",J86,IF(Q86&gt;0,"Overtime",IF(G86&gt;E86,"Late",IF(H86&lt;F86,"Left Early","On Time")))))</x:f>
        <x:v>On Time</x:v>
      </x:c>
      <x:c r="T86" s="36" t="str"/>
    </x:row>
    <x:row r="87">
      <x:c r="A87" s="37" t="n">
        <x:v>46267</x:v>
      </x:c>
      <x:c r="B87" s="36" t="str">
        <x:v>EMP-004</x:v>
      </x:c>
      <x:c r="C87" s="54" t="str">
        <x:f>IFERROR(VLOOKUP(B87,Employees!$A$4:$K$9,2,FALSE),"")</x:f>
        <x:v>Noah Williams</x:v>
      </x:c>
      <x:c r="D87" s="54" t="str">
        <x:f>TEXT(A87,"dddd")</x:f>
        <x:v>Wednesday</x:v>
      </x:c>
      <x:c r="E87" s="56" t="n">
        <x:f>IFERROR(VLOOKUP(D87,'Work Schedule'!$A$4:$F$10,2,FALSE),"")</x:f>
        <x:v>0.3333333333333333</x:v>
      </x:c>
      <x:c r="F87" s="56" t="n">
        <x:f>IFERROR(VLOOKUP(D87,'Work Schedule'!$A$4:$F$10,3,FALSE),"")</x:f>
        <x:v>0.7083333333333334</x:v>
      </x:c>
      <x:c r="G87" s="50" t="n">
        <x:v>0.3333333333333333</x:v>
      </x:c>
      <x:c r="H87" s="50" t="n">
        <x:v>0.7361111111111112</x:v>
      </x:c>
      <x:c r="I87" s="52" t="n">
        <x:v>1</x:v>
      </x:c>
      <x:c r="J87" s="36" t="str">
        <x:v>None</x:v>
      </x:c>
      <x:c r="K87" s="52" t="n">
        <x:v>0</x:v>
      </x:c>
      <x:c r="L87" s="58" t="n">
        <x:f>IFERROR(VLOOKUP(D87,'Work Schedule'!$A$4:$F$10,5,FALSE),0)</x:f>
        <x:v>8</x:v>
      </x:c>
      <x:c r="M87" s="46" t="n">
        <x:f>IF(OR(G87="",H87=""),0,ROUND(MAX(0,(H87-G87)*24-I87),2))</x:f>
        <x:v>8.67</x:v>
      </x:c>
      <x:c r="N87" s="60" t="n">
        <x:f>A87-WEEKDAY(A87,2)+1</x:f>
        <x:v>46265</x:v>
      </x:c>
      <x:c r="O87" s="58" t="n">
        <x:f>ROUND(SUMIFS($M$4:$M$400,$B$4:$B$400,B87,$N$4:$N$400,N87,$A$4:$A$400,"&lt;="&amp;A87),2)</x:f>
        <x:v>24.8</x:v>
      </x:c>
      <x:c r="P87" s="46" t="n">
        <x:f>ROUND(MAX(0,M87-Q87),2)</x:f>
        <x:v>8.67</x:v>
      </x:c>
      <x:c r="Q87" s="46" t="n">
        <x:f>ROUND(MAX(0,O87-Settings!$B$13)-MAX(0,O87-M87-Settings!$B$13),2)</x:f>
        <x:v>0</x:v>
      </x:c>
      <x:c r="R87" s="46" t="n">
        <x:f>ROUND(M87+K87-L87,2)</x:f>
        <x:v>0.67</x:v>
      </x:c>
      <x:c r="S87" t="str">
        <x:f>IF(B87="","",IF(J87&lt;&gt;"None",J87,IF(Q87&gt;0,"Overtime",IF(G87&gt;E87,"Late",IF(H87&lt;F87,"Left Early","On Time")))))</x:f>
        <x:v>On Time</x:v>
      </x:c>
      <x:c r="T87" s="36" t="str">
        <x:v>Customer escalation required extended coverage.</x:v>
      </x:c>
    </x:row>
    <x:row r="88">
      <x:c r="A88" s="37" t="n">
        <x:v>46268</x:v>
      </x:c>
      <x:c r="B88" s="36" t="str">
        <x:v>EMP-004</x:v>
      </x:c>
      <x:c r="C88" s="54" t="str">
        <x:f>IFERROR(VLOOKUP(B88,Employees!$A$4:$K$9,2,FALSE),"")</x:f>
        <x:v>Noah Williams</x:v>
      </x:c>
      <x:c r="D88" s="54" t="str">
        <x:f>TEXT(A88,"dddd")</x:f>
        <x:v>Thursday</x:v>
      </x:c>
      <x:c r="E88" s="56" t="n">
        <x:f>IFERROR(VLOOKUP(D88,'Work Schedule'!$A$4:$F$10,2,FALSE),"")</x:f>
        <x:v>0.3333333333333333</x:v>
      </x:c>
      <x:c r="F88" s="56" t="n">
        <x:f>IFERROR(VLOOKUP(D88,'Work Schedule'!$A$4:$F$10,3,FALSE),"")</x:f>
        <x:v>0.7083333333333334</x:v>
      </x:c>
      <x:c r="G88" s="50" t="n">
        <x:v>0.3347222222222222</x:v>
      </x:c>
      <x:c r="H88" s="50" t="n">
        <x:v>0.7083333333333334</x:v>
      </x:c>
      <x:c r="I88" s="52" t="n">
        <x:v>1</x:v>
      </x:c>
      <x:c r="J88" s="36" t="str">
        <x:v>None</x:v>
      </x:c>
      <x:c r="K88" s="52" t="n">
        <x:v>0</x:v>
      </x:c>
      <x:c r="L88" s="58" t="n">
        <x:f>IFERROR(VLOOKUP(D88,'Work Schedule'!$A$4:$F$10,5,FALSE),0)</x:f>
        <x:v>8</x:v>
      </x:c>
      <x:c r="M88" s="46" t="n">
        <x:f>IF(OR(G88="",H88=""),0,ROUND(MAX(0,(H88-G88)*24-I88),2))</x:f>
        <x:v>7.97</x:v>
      </x:c>
      <x:c r="N88" s="60" t="n">
        <x:f>A88-WEEKDAY(A88,2)+1</x:f>
        <x:v>46265</x:v>
      </x:c>
      <x:c r="O88" s="58" t="n">
        <x:f>ROUND(SUMIFS($M$4:$M$400,$B$4:$B$400,B88,$N$4:$N$400,N88,$A$4:$A$400,"&lt;="&amp;A88),2)</x:f>
        <x:v>32.77</x:v>
      </x:c>
      <x:c r="P88" s="46" t="n">
        <x:f>ROUND(MAX(0,M88-Q88),2)</x:f>
        <x:v>7.97</x:v>
      </x:c>
      <x:c r="Q88" s="46" t="n">
        <x:f>ROUND(MAX(0,O88-Settings!$B$13)-MAX(0,O88-M88-Settings!$B$13),2)</x:f>
        <x:v>0</x:v>
      </x:c>
      <x:c r="R88" s="46" t="n">
        <x:f>ROUND(M88+K88-L88,2)</x:f>
        <x:v>-0.03</x:v>
      </x:c>
      <x:c r="S88" t="str">
        <x:f>IF(B88="","",IF(J88&lt;&gt;"None",J88,IF(Q88&gt;0,"Overtime",IF(G88&gt;E88,"Late",IF(H88&lt;F88,"Left Early","On Time")))))</x:f>
        <x:v>Late</x:v>
      </x:c>
      <x:c r="T88" s="36" t="str"/>
    </x:row>
    <x:row r="89">
      <x:c r="A89" s="37" t="n">
        <x:v>46269</x:v>
      </x:c>
      <x:c r="B89" s="36" t="str">
        <x:v>EMP-004</x:v>
      </x:c>
      <x:c r="C89" s="54" t="str">
        <x:f>IFERROR(VLOOKUP(B89,Employees!$A$4:$K$9,2,FALSE),"")</x:f>
        <x:v>Noah Williams</x:v>
      </x:c>
      <x:c r="D89" s="54" t="str">
        <x:f>TEXT(A89,"dddd")</x:f>
        <x:v>Friday</x:v>
      </x:c>
      <x:c r="E89" s="56" t="n">
        <x:f>IFERROR(VLOOKUP(D89,'Work Schedule'!$A$4:$F$10,2,FALSE),"")</x:f>
        <x:v>0.3333333333333333</x:v>
      </x:c>
      <x:c r="F89" s="56" t="n">
        <x:f>IFERROR(VLOOKUP(D89,'Work Schedule'!$A$4:$F$10,3,FALSE),"")</x:f>
        <x:v>0.7083333333333334</x:v>
      </x:c>
      <x:c r="G89" s="50" t="n">
        <x:v>0.33125</x:v>
      </x:c>
      <x:c r="H89" s="50" t="n">
        <x:v>0.7104166666666667</x:v>
      </x:c>
      <x:c r="I89" s="52" t="n">
        <x:v>1</x:v>
      </x:c>
      <x:c r="J89" s="36" t="str">
        <x:v>None</x:v>
      </x:c>
      <x:c r="K89" s="52" t="n">
        <x:v>0</x:v>
      </x:c>
      <x:c r="L89" s="58" t="n">
        <x:f>IFERROR(VLOOKUP(D89,'Work Schedule'!$A$4:$F$10,5,FALSE),0)</x:f>
        <x:v>8</x:v>
      </x:c>
      <x:c r="M89" s="46" t="n">
        <x:f>IF(OR(G89="",H89=""),0,ROUND(MAX(0,(H89-G89)*24-I89),2))</x:f>
        <x:v>8.1</x:v>
      </x:c>
      <x:c r="N89" s="60" t="n">
        <x:f>A89-WEEKDAY(A89,2)+1</x:f>
        <x:v>46265</x:v>
      </x:c>
      <x:c r="O89" s="58" t="n">
        <x:f>ROUND(SUMIFS($M$4:$M$400,$B$4:$B$400,B89,$N$4:$N$400,N89,$A$4:$A$400,"&lt;="&amp;A89),2)</x:f>
        <x:v>40.87</x:v>
      </x:c>
      <x:c r="P89" s="46" t="n">
        <x:f>ROUND(MAX(0,M89-Q89),2)</x:f>
        <x:v>8.1</x:v>
      </x:c>
      <x:c r="Q89" s="46" t="n">
        <x:f>ROUND(MAX(0,O89-Settings!$B$13)-MAX(0,O89-M89-Settings!$B$13),2)</x:f>
        <x:v>0</x:v>
      </x:c>
      <x:c r="R89" s="46" t="n">
        <x:f>ROUND(M89+K89-L89,2)</x:f>
        <x:v>0.1</x:v>
      </x:c>
      <x:c r="S89" t="str">
        <x:f>IF(B89="","",IF(J89&lt;&gt;"None",J89,IF(Q89&gt;0,"Overtime",IF(G89&gt;E89,"Late",IF(H89&lt;F89,"Left Early","On Time")))))</x:f>
        <x:v>On Time</x:v>
      </x:c>
      <x:c r="T89" s="36" t="str"/>
    </x:row>
    <x:row r="90">
      <x:c r="A90" s="37" t="n">
        <x:v>46270</x:v>
      </x:c>
      <x:c r="B90" s="36" t="str">
        <x:v>EMP-004</x:v>
      </x:c>
      <x:c r="C90" s="54" t="str">
        <x:f>IFERROR(VLOOKUP(B90,Employees!$A$4:$K$9,2,FALSE),"")</x:f>
        <x:v>Noah Williams</x:v>
      </x:c>
      <x:c r="D90" s="54" t="str">
        <x:f>TEXT(A90,"dddd")</x:f>
        <x:v>Saturday</x:v>
      </x:c>
      <x:c r="E90" s="56" t="n">
        <x:f>IFERROR(VLOOKUP(D90,'Work Schedule'!$A$4:$F$10,2,FALSE),"")</x:f>
        <x:v>0.3333333333333333</x:v>
      </x:c>
      <x:c r="F90" s="56" t="n">
        <x:f>IFERROR(VLOOKUP(D90,'Work Schedule'!$A$4:$F$10,3,FALSE),"")</x:f>
        <x:v>0.5833333333333334</x:v>
      </x:c>
      <x:c r="G90" s="50" t="n">
        <x:v>0.3333333333333333</x:v>
      </x:c>
      <x:c r="H90" s="50" t="n">
        <x:v>0.5847222222222223</x:v>
      </x:c>
      <x:c r="I90" s="52" t="n">
        <x:v>1</x:v>
      </x:c>
      <x:c r="J90" s="36" t="str">
        <x:v>None</x:v>
      </x:c>
      <x:c r="K90" s="52" t="n">
        <x:v>0</x:v>
      </x:c>
      <x:c r="L90" s="58" t="n">
        <x:f>IFERROR(VLOOKUP(D90,'Work Schedule'!$A$4:$F$10,5,FALSE),0)</x:f>
        <x:v>5</x:v>
      </x:c>
      <x:c r="M90" s="46" t="n">
        <x:f>IF(OR(G90="",H90=""),0,ROUND(MAX(0,(H90-G90)*24-I90),2))</x:f>
        <x:v>5.03</x:v>
      </x:c>
      <x:c r="N90" s="60" t="n">
        <x:f>A90-WEEKDAY(A90,2)+1</x:f>
        <x:v>46265</x:v>
      </x:c>
      <x:c r="O90" s="58" t="n">
        <x:f>ROUND(SUMIFS($M$4:$M$400,$B$4:$B$400,B90,$N$4:$N$400,N90,$A$4:$A$400,"&lt;="&amp;A90),2)</x:f>
        <x:v>45.9</x:v>
      </x:c>
      <x:c r="P90" s="46" t="n">
        <x:f>ROUND(MAX(0,M90-Q90),2)</x:f>
        <x:v>3.13</x:v>
      </x:c>
      <x:c r="Q90" s="46" t="n">
        <x:f>ROUND(MAX(0,O90-Settings!$B$13)-MAX(0,O90-M90-Settings!$B$13),2)</x:f>
        <x:v>1.9</x:v>
      </x:c>
      <x:c r="R90" s="46" t="n">
        <x:f>ROUND(M90+K90-L90,2)</x:f>
        <x:v>0.03</x:v>
      </x:c>
      <x:c r="S90" t="str">
        <x:f>IF(B90="","",IF(J90&lt;&gt;"None",J90,IF(Q90&gt;0,"Overtime",IF(G90&gt;E90,"Late",IF(H90&lt;F90,"Left Early","On Time")))))</x:f>
        <x:v>Overtime</x:v>
      </x:c>
      <x:c r="T90" s="36" t="str"/>
    </x:row>
    <x:row r="91">
      <x:c r="A91" s="37" t="n">
        <x:v>46272</x:v>
      </x:c>
      <x:c r="B91" s="36" t="str">
        <x:v>EMP-004</x:v>
      </x:c>
      <x:c r="C91" s="54" t="str">
        <x:f>IFERROR(VLOOKUP(B91,Employees!$A$4:$K$9,2,FALSE),"")</x:f>
        <x:v>Noah Williams</x:v>
      </x:c>
      <x:c r="D91" s="54" t="str">
        <x:f>TEXT(A91,"dddd")</x:f>
        <x:v>Monday</x:v>
      </x:c>
      <x:c r="E91" s="56" t="n">
        <x:f>IFERROR(VLOOKUP(D91,'Work Schedule'!$A$4:$F$10,2,FALSE),"")</x:f>
        <x:v>0.3333333333333333</x:v>
      </x:c>
      <x:c r="F91" s="56" t="n">
        <x:f>IFERROR(VLOOKUP(D91,'Work Schedule'!$A$4:$F$10,3,FALSE),"")</x:f>
        <x:v>0.7083333333333334</x:v>
      </x:c>
      <x:c r="G91" s="50"/>
      <x:c r="H91" s="50"/>
      <x:c r="I91" s="52" t="n">
        <x:v>0</x:v>
      </x:c>
      <x:c r="J91" s="36" t="str">
        <x:v>Public Holiday</x:v>
      </x:c>
      <x:c r="K91" s="52" t="n">
        <x:v>8</x:v>
      </x:c>
      <x:c r="L91" s="58" t="n">
        <x:f>IFERROR(VLOOKUP(D91,'Work Schedule'!$A$4:$F$10,5,FALSE),0)</x:f>
        <x:v>8</x:v>
      </x:c>
      <x:c r="M91" s="46" t="n">
        <x:f>IF(OR(G91="",H91=""),0,ROUND(MAX(0,(H91-G91)*24-I91),2))</x:f>
        <x:v>0</x:v>
      </x:c>
      <x:c r="N91" s="60" t="n">
        <x:f>A91-WEEKDAY(A91,2)+1</x:f>
        <x:v>46272</x:v>
      </x:c>
      <x:c r="O91" s="58" t="n">
        <x:f>ROUND(SUMIFS($M$4:$M$400,$B$4:$B$400,B91,$N$4:$N$400,N91,$A$4:$A$400,"&lt;="&amp;A91),2)</x:f>
        <x:v>0</x:v>
      </x:c>
      <x:c r="P91" s="46" t="n">
        <x:f>ROUND(MAX(0,M91-Q91),2)</x:f>
        <x:v>0</x:v>
      </x:c>
      <x:c r="Q91" s="46" t="n">
        <x:f>ROUND(MAX(0,O91-Settings!$B$13)-MAX(0,O91-M91-Settings!$B$13),2)</x:f>
        <x:v>0</x:v>
      </x:c>
      <x:c r="R91" s="46" t="n">
        <x:f>ROUND(M91+K91-L91,2)</x:f>
        <x:v>0</x:v>
      </x:c>
      <x:c r="S91" t="str">
        <x:f>IF(B91="","",IF(J91&lt;&gt;"None",J91,IF(Q91&gt;0,"Overtime",IF(G91&gt;E91,"Late",IF(H91&lt;F91,"Left Early","On Time")))))</x:f>
        <x:v>Public Holiday</x:v>
      </x:c>
      <x:c r="T91" s="36" t="str">
        <x:v>Labour Day</x:v>
      </x:c>
    </x:row>
    <x:row r="92">
      <x:c r="A92" s="37" t="n">
        <x:v>46273</x:v>
      </x:c>
      <x:c r="B92" s="36" t="str">
        <x:v>EMP-004</x:v>
      </x:c>
      <x:c r="C92" s="54" t="str">
        <x:f>IFERROR(VLOOKUP(B92,Employees!$A$4:$K$9,2,FALSE),"")</x:f>
        <x:v>Noah Williams</x:v>
      </x:c>
      <x:c r="D92" s="54" t="str">
        <x:f>TEXT(A92,"dddd")</x:f>
        <x:v>Tuesday</x:v>
      </x:c>
      <x:c r="E92" s="56" t="n">
        <x:f>IFERROR(VLOOKUP(D92,'Work Schedule'!$A$4:$F$10,2,FALSE),"")</x:f>
        <x:v>0.3333333333333333</x:v>
      </x:c>
      <x:c r="F92" s="56" t="n">
        <x:f>IFERROR(VLOOKUP(D92,'Work Schedule'!$A$4:$F$10,3,FALSE),"")</x:f>
        <x:v>0.7083333333333334</x:v>
      </x:c>
      <x:c r="G92" s="50" t="n">
        <x:v>0.3402777777777778</x:v>
      </x:c>
      <x:c r="H92" s="50" t="n">
        <x:v>0.7083333333333334</x:v>
      </x:c>
      <x:c r="I92" s="52" t="n">
        <x:v>1</x:v>
      </x:c>
      <x:c r="J92" s="36" t="str">
        <x:v>None</x:v>
      </x:c>
      <x:c r="K92" s="52" t="n">
        <x:v>0</x:v>
      </x:c>
      <x:c r="L92" s="58" t="n">
        <x:f>IFERROR(VLOOKUP(D92,'Work Schedule'!$A$4:$F$10,5,FALSE),0)</x:f>
        <x:v>8</x:v>
      </x:c>
      <x:c r="M92" s="46" t="n">
        <x:f>IF(OR(G92="",H92=""),0,ROUND(MAX(0,(H92-G92)*24-I92),2))</x:f>
        <x:v>7.83</x:v>
      </x:c>
      <x:c r="N92" s="60" t="n">
        <x:f>A92-WEEKDAY(A92,2)+1</x:f>
        <x:v>46272</x:v>
      </x:c>
      <x:c r="O92" s="58" t="n">
        <x:f>ROUND(SUMIFS($M$4:$M$400,$B$4:$B$400,B92,$N$4:$N$400,N92,$A$4:$A$400,"&lt;="&amp;A92),2)</x:f>
        <x:v>7.83</x:v>
      </x:c>
      <x:c r="P92" s="46" t="n">
        <x:f>ROUND(MAX(0,M92-Q92),2)</x:f>
        <x:v>7.83</x:v>
      </x:c>
      <x:c r="Q92" s="46" t="n">
        <x:f>ROUND(MAX(0,O92-Settings!$B$13)-MAX(0,O92-M92-Settings!$B$13),2)</x:f>
        <x:v>0</x:v>
      </x:c>
      <x:c r="R92" s="46" t="n">
        <x:f>ROUND(M92+K92-L92,2)</x:f>
        <x:v>-0.17</x:v>
      </x:c>
      <x:c r="S92" t="str">
        <x:f>IF(B92="","",IF(J92&lt;&gt;"None",J92,IF(Q92&gt;0,"Overtime",IF(G92&gt;E92,"Late",IF(H92&lt;F92,"Left Early","On Time")))))</x:f>
        <x:v>Late</x:v>
      </x:c>
      <x:c r="T92" s="36" t="str">
        <x:v>Arrived 10 minutes late.</x:v>
      </x:c>
    </x:row>
    <x:row r="93">
      <x:c r="A93" s="37" t="n">
        <x:v>46274</x:v>
      </x:c>
      <x:c r="B93" s="36" t="str">
        <x:v>EMP-004</x:v>
      </x:c>
      <x:c r="C93" s="54" t="str">
        <x:f>IFERROR(VLOOKUP(B93,Employees!$A$4:$K$9,2,FALSE),"")</x:f>
        <x:v>Noah Williams</x:v>
      </x:c>
      <x:c r="D93" s="54" t="str">
        <x:f>TEXT(A93,"dddd")</x:f>
        <x:v>Wednesday</x:v>
      </x:c>
      <x:c r="E93" s="56" t="n">
        <x:f>IFERROR(VLOOKUP(D93,'Work Schedule'!$A$4:$F$10,2,FALSE),"")</x:f>
        <x:v>0.3333333333333333</x:v>
      </x:c>
      <x:c r="F93" s="56" t="n">
        <x:f>IFERROR(VLOOKUP(D93,'Work Schedule'!$A$4:$F$10,3,FALSE),"")</x:f>
        <x:v>0.7083333333333334</x:v>
      </x:c>
      <x:c r="G93" s="50" t="n">
        <x:v>0.3333333333333333</x:v>
      </x:c>
      <x:c r="H93" s="50" t="n">
        <x:v>0.7069444444444445</x:v>
      </x:c>
      <x:c r="I93" s="52" t="n">
        <x:v>1</x:v>
      </x:c>
      <x:c r="J93" s="36" t="str">
        <x:v>None</x:v>
      </x:c>
      <x:c r="K93" s="52" t="n">
        <x:v>0</x:v>
      </x:c>
      <x:c r="L93" s="58" t="n">
        <x:f>IFERROR(VLOOKUP(D93,'Work Schedule'!$A$4:$F$10,5,FALSE),0)</x:f>
        <x:v>8</x:v>
      </x:c>
      <x:c r="M93" s="46" t="n">
        <x:f>IF(OR(G93="",H93=""),0,ROUND(MAX(0,(H93-G93)*24-I93),2))</x:f>
        <x:v>7.97</x:v>
      </x:c>
      <x:c r="N93" s="60" t="n">
        <x:f>A93-WEEKDAY(A93,2)+1</x:f>
        <x:v>46272</x:v>
      </x:c>
      <x:c r="O93" s="58" t="n">
        <x:f>ROUND(SUMIFS($M$4:$M$400,$B$4:$B$400,B93,$N$4:$N$400,N93,$A$4:$A$400,"&lt;="&amp;A93),2)</x:f>
        <x:v>15.8</x:v>
      </x:c>
      <x:c r="P93" s="46" t="n">
        <x:f>ROUND(MAX(0,M93-Q93),2)</x:f>
        <x:v>7.97</x:v>
      </x:c>
      <x:c r="Q93" s="46" t="n">
        <x:f>ROUND(MAX(0,O93-Settings!$B$13)-MAX(0,O93-M93-Settings!$B$13),2)</x:f>
        <x:v>0</x:v>
      </x:c>
      <x:c r="R93" s="46" t="n">
        <x:f>ROUND(M93+K93-L93,2)</x:f>
        <x:v>-0.03</x:v>
      </x:c>
      <x:c r="S93" t="str">
        <x:f>IF(B93="","",IF(J93&lt;&gt;"None",J93,IF(Q93&gt;0,"Overtime",IF(G93&gt;E93,"Late",IF(H93&lt;F93,"Left Early","On Time")))))</x:f>
        <x:v>Left Early</x:v>
      </x:c>
      <x:c r="T93" s="36" t="str"/>
    </x:row>
    <x:row r="94">
      <x:c r="A94" s="37" t="n">
        <x:v>46275</x:v>
      </x:c>
      <x:c r="B94" s="36" t="str">
        <x:v>EMP-004</x:v>
      </x:c>
      <x:c r="C94" s="54" t="str">
        <x:f>IFERROR(VLOOKUP(B94,Employees!$A$4:$K$9,2,FALSE),"")</x:f>
        <x:v>Noah Williams</x:v>
      </x:c>
      <x:c r="D94" s="54" t="str">
        <x:f>TEXT(A94,"dddd")</x:f>
        <x:v>Thursday</x:v>
      </x:c>
      <x:c r="E94" s="56" t="n">
        <x:f>IFERROR(VLOOKUP(D94,'Work Schedule'!$A$4:$F$10,2,FALSE),"")</x:f>
        <x:v>0.3333333333333333</x:v>
      </x:c>
      <x:c r="F94" s="56" t="n">
        <x:f>IFERROR(VLOOKUP(D94,'Work Schedule'!$A$4:$F$10,3,FALSE),"")</x:f>
        <x:v>0.7083333333333334</x:v>
      </x:c>
      <x:c r="G94" s="50" t="n">
        <x:v>0.33402777777777776</x:v>
      </x:c>
      <x:c r="H94" s="50" t="n">
        <x:v>0.7083333333333334</x:v>
      </x:c>
      <x:c r="I94" s="52" t="n">
        <x:v>1</x:v>
      </x:c>
      <x:c r="J94" s="36" t="str">
        <x:v>None</x:v>
      </x:c>
      <x:c r="K94" s="52" t="n">
        <x:v>0</x:v>
      </x:c>
      <x:c r="L94" s="58" t="n">
        <x:f>IFERROR(VLOOKUP(D94,'Work Schedule'!$A$4:$F$10,5,FALSE),0)</x:f>
        <x:v>8</x:v>
      </x:c>
      <x:c r="M94" s="46" t="n">
        <x:f>IF(OR(G94="",H94=""),0,ROUND(MAX(0,(H94-G94)*24-I94),2))</x:f>
        <x:v>7.98</x:v>
      </x:c>
      <x:c r="N94" s="60" t="n">
        <x:f>A94-WEEKDAY(A94,2)+1</x:f>
        <x:v>46272</x:v>
      </x:c>
      <x:c r="O94" s="58" t="n">
        <x:f>ROUND(SUMIFS($M$4:$M$400,$B$4:$B$400,B94,$N$4:$N$400,N94,$A$4:$A$400,"&lt;="&amp;A94),2)</x:f>
        <x:v>23.78</x:v>
      </x:c>
      <x:c r="P94" s="46" t="n">
        <x:f>ROUND(MAX(0,M94-Q94),2)</x:f>
        <x:v>7.98</x:v>
      </x:c>
      <x:c r="Q94" s="46" t="n">
        <x:f>ROUND(MAX(0,O94-Settings!$B$13)-MAX(0,O94-M94-Settings!$B$13),2)</x:f>
        <x:v>0</x:v>
      </x:c>
      <x:c r="R94" s="46" t="n">
        <x:f>ROUND(M94+K94-L94,2)</x:f>
        <x:v>-0.02</x:v>
      </x:c>
      <x:c r="S94" t="str">
        <x:f>IF(B94="","",IF(J94&lt;&gt;"None",J94,IF(Q94&gt;0,"Overtime",IF(G94&gt;E94,"Late",IF(H94&lt;F94,"Left Early","On Time")))))</x:f>
        <x:v>Late</x:v>
      </x:c>
      <x:c r="T94" s="36" t="str"/>
    </x:row>
    <x:row r="95">
      <x:c r="A95" s="37" t="n">
        <x:v>46276</x:v>
      </x:c>
      <x:c r="B95" s="36" t="str">
        <x:v>EMP-004</x:v>
      </x:c>
      <x:c r="C95" s="54" t="str">
        <x:f>IFERROR(VLOOKUP(B95,Employees!$A$4:$K$9,2,FALSE),"")</x:f>
        <x:v>Noah Williams</x:v>
      </x:c>
      <x:c r="D95" s="54" t="str">
        <x:f>TEXT(A95,"dddd")</x:f>
        <x:v>Friday</x:v>
      </x:c>
      <x:c r="E95" s="56" t="n">
        <x:f>IFERROR(VLOOKUP(D95,'Work Schedule'!$A$4:$F$10,2,FALSE),"")</x:f>
        <x:v>0.3333333333333333</x:v>
      </x:c>
      <x:c r="F95" s="56" t="n">
        <x:f>IFERROR(VLOOKUP(D95,'Work Schedule'!$A$4:$F$10,3,FALSE),"")</x:f>
        <x:v>0.7083333333333334</x:v>
      </x:c>
      <x:c r="G95" s="50" t="n">
        <x:v>0.3333333333333333</x:v>
      </x:c>
      <x:c r="H95" s="50" t="n">
        <x:v>0.7083333333333334</x:v>
      </x:c>
      <x:c r="I95" s="52" t="n">
        <x:v>1</x:v>
      </x:c>
      <x:c r="J95" s="36" t="str">
        <x:v>None</x:v>
      </x:c>
      <x:c r="K95" s="52" t="n">
        <x:v>0</x:v>
      </x:c>
      <x:c r="L95" s="58" t="n">
        <x:f>IFERROR(VLOOKUP(D95,'Work Schedule'!$A$4:$F$10,5,FALSE),0)</x:f>
        <x:v>8</x:v>
      </x:c>
      <x:c r="M95" s="46" t="n">
        <x:f>IF(OR(G95="",H95=""),0,ROUND(MAX(0,(H95-G95)*24-I95),2))</x:f>
        <x:v>8</x:v>
      </x:c>
      <x:c r="N95" s="60" t="n">
        <x:f>A95-WEEKDAY(A95,2)+1</x:f>
        <x:v>46272</x:v>
      </x:c>
      <x:c r="O95" s="58" t="n">
        <x:f>ROUND(SUMIFS($M$4:$M$400,$B$4:$B$400,B95,$N$4:$N$400,N95,$A$4:$A$400,"&lt;="&amp;A95),2)</x:f>
        <x:v>31.78</x:v>
      </x:c>
      <x:c r="P95" s="46" t="n">
        <x:f>ROUND(MAX(0,M95-Q95),2)</x:f>
        <x:v>8</x:v>
      </x:c>
      <x:c r="Q95" s="46" t="n">
        <x:f>ROUND(MAX(0,O95-Settings!$B$13)-MAX(0,O95-M95-Settings!$B$13),2)</x:f>
        <x:v>0</x:v>
      </x:c>
      <x:c r="R95" s="46" t="n">
        <x:f>ROUND(M95+K95-L95,2)</x:f>
        <x:v>0</x:v>
      </x:c>
      <x:c r="S95" t="str">
        <x:f>IF(B95="","",IF(J95&lt;&gt;"None",J95,IF(Q95&gt;0,"Overtime",IF(G95&gt;E95,"Late",IF(H95&lt;F95,"Left Early","On Time")))))</x:f>
        <x:v>On Time</x:v>
      </x:c>
      <x:c r="T95" s="36" t="str"/>
    </x:row>
    <x:row r="96">
      <x:c r="A96" s="37" t="n">
        <x:v>46277</x:v>
      </x:c>
      <x:c r="B96" s="36" t="str">
        <x:v>EMP-004</x:v>
      </x:c>
      <x:c r="C96" s="54" t="str">
        <x:f>IFERROR(VLOOKUP(B96,Employees!$A$4:$K$9,2,FALSE),"")</x:f>
        <x:v>Noah Williams</x:v>
      </x:c>
      <x:c r="D96" s="54" t="str">
        <x:f>TEXT(A96,"dddd")</x:f>
        <x:v>Saturday</x:v>
      </x:c>
      <x:c r="E96" s="56" t="n">
        <x:f>IFERROR(VLOOKUP(D96,'Work Schedule'!$A$4:$F$10,2,FALSE),"")</x:f>
        <x:v>0.3333333333333333</x:v>
      </x:c>
      <x:c r="F96" s="56" t="n">
        <x:f>IFERROR(VLOOKUP(D96,'Work Schedule'!$A$4:$F$10,3,FALSE),"")</x:f>
        <x:v>0.5833333333333334</x:v>
      </x:c>
      <x:c r="G96" s="50" t="n">
        <x:v>0.3333333333333333</x:v>
      </x:c>
      <x:c r="H96" s="50" t="n">
        <x:v>0.5840277777777778</x:v>
      </x:c>
      <x:c r="I96" s="52" t="n">
        <x:v>1</x:v>
      </x:c>
      <x:c r="J96" s="36" t="str">
        <x:v>None</x:v>
      </x:c>
      <x:c r="K96" s="52" t="n">
        <x:v>0</x:v>
      </x:c>
      <x:c r="L96" s="58" t="n">
        <x:f>IFERROR(VLOOKUP(D96,'Work Schedule'!$A$4:$F$10,5,FALSE),0)</x:f>
        <x:v>5</x:v>
      </x:c>
      <x:c r="M96" s="46" t="n">
        <x:f>IF(OR(G96="",H96=""),0,ROUND(MAX(0,(H96-G96)*24-I96),2))</x:f>
        <x:v>5.02</x:v>
      </x:c>
      <x:c r="N96" s="60" t="n">
        <x:f>A96-WEEKDAY(A96,2)+1</x:f>
        <x:v>46272</x:v>
      </x:c>
      <x:c r="O96" s="58" t="n">
        <x:f>ROUND(SUMIFS($M$4:$M$400,$B$4:$B$400,B96,$N$4:$N$400,N96,$A$4:$A$400,"&lt;="&amp;A96),2)</x:f>
        <x:v>36.8</x:v>
      </x:c>
      <x:c r="P96" s="46" t="n">
        <x:f>ROUND(MAX(0,M96-Q96),2)</x:f>
        <x:v>5.02</x:v>
      </x:c>
      <x:c r="Q96" s="46" t="n">
        <x:f>ROUND(MAX(0,O96-Settings!$B$13)-MAX(0,O96-M96-Settings!$B$13),2)</x:f>
        <x:v>0</x:v>
      </x:c>
      <x:c r="R96" s="46" t="n">
        <x:f>ROUND(M96+K96-L96,2)</x:f>
        <x:v>0.02</x:v>
      </x:c>
      <x:c r="S96" t="str">
        <x:f>IF(B96="","",IF(J96&lt;&gt;"None",J96,IF(Q96&gt;0,"Overtime",IF(G96&gt;E96,"Late",IF(H96&lt;F96,"Left Early","On Time")))))</x:f>
        <x:v>On Time</x:v>
      </x:c>
      <x:c r="T96" s="36" t="str"/>
    </x:row>
    <x:row r="97">
      <x:c r="A97" s="37" t="n">
        <x:v>46279</x:v>
      </x:c>
      <x:c r="B97" s="36" t="str">
        <x:v>EMP-004</x:v>
      </x:c>
      <x:c r="C97" s="54" t="str">
        <x:f>IFERROR(VLOOKUP(B97,Employees!$A$4:$K$9,2,FALSE),"")</x:f>
        <x:v>Noah Williams</x:v>
      </x:c>
      <x:c r="D97" s="54" t="str">
        <x:f>TEXT(A97,"dddd")</x:f>
        <x:v>Monday</x:v>
      </x:c>
      <x:c r="E97" s="56" t="n">
        <x:f>IFERROR(VLOOKUP(D97,'Work Schedule'!$A$4:$F$10,2,FALSE),"")</x:f>
        <x:v>0.3333333333333333</x:v>
      </x:c>
      <x:c r="F97" s="56" t="n">
        <x:f>IFERROR(VLOOKUP(D97,'Work Schedule'!$A$4:$F$10,3,FALSE),"")</x:f>
        <x:v>0.7083333333333334</x:v>
      </x:c>
      <x:c r="G97" s="50" t="n">
        <x:v>0.3347222222222222</x:v>
      </x:c>
      <x:c r="H97" s="50" t="n">
        <x:v>0.7083333333333334</x:v>
      </x:c>
      <x:c r="I97" s="52" t="n">
        <x:v>1</x:v>
      </x:c>
      <x:c r="J97" s="36" t="str">
        <x:v>None</x:v>
      </x:c>
      <x:c r="K97" s="52" t="n">
        <x:v>0</x:v>
      </x:c>
      <x:c r="L97" s="58" t="n">
        <x:f>IFERROR(VLOOKUP(D97,'Work Schedule'!$A$4:$F$10,5,FALSE),0)</x:f>
        <x:v>8</x:v>
      </x:c>
      <x:c r="M97" s="46" t="n">
        <x:f>IF(OR(G97="",H97=""),0,ROUND(MAX(0,(H97-G97)*24-I97),2))</x:f>
        <x:v>7.97</x:v>
      </x:c>
      <x:c r="N97" s="60" t="n">
        <x:f>A97-WEEKDAY(A97,2)+1</x:f>
        <x:v>46279</x:v>
      </x:c>
      <x:c r="O97" s="58" t="n">
        <x:f>ROUND(SUMIFS($M$4:$M$400,$B$4:$B$400,B97,$N$4:$N$400,N97,$A$4:$A$400,"&lt;="&amp;A97),2)</x:f>
        <x:v>7.97</x:v>
      </x:c>
      <x:c r="P97" s="46" t="n">
        <x:f>ROUND(MAX(0,M97-Q97),2)</x:f>
        <x:v>7.97</x:v>
      </x:c>
      <x:c r="Q97" s="46" t="n">
        <x:f>ROUND(MAX(0,O97-Settings!$B$13)-MAX(0,O97-M97-Settings!$B$13),2)</x:f>
        <x:v>0</x:v>
      </x:c>
      <x:c r="R97" s="46" t="n">
        <x:f>ROUND(M97+K97-L97,2)</x:f>
        <x:v>-0.03</x:v>
      </x:c>
      <x:c r="S97" t="str">
        <x:f>IF(B97="","",IF(J97&lt;&gt;"None",J97,IF(Q97&gt;0,"Overtime",IF(G97&gt;E97,"Late",IF(H97&lt;F97,"Left Early","On Time")))))</x:f>
        <x:v>Late</x:v>
      </x:c>
      <x:c r="T97" s="36" t="str"/>
    </x:row>
    <x:row r="98">
      <x:c r="A98" s="37" t="n">
        <x:v>46280</x:v>
      </x:c>
      <x:c r="B98" s="36" t="str">
        <x:v>EMP-004</x:v>
      </x:c>
      <x:c r="C98" s="54" t="str">
        <x:f>IFERROR(VLOOKUP(B98,Employees!$A$4:$K$9,2,FALSE),"")</x:f>
        <x:v>Noah Williams</x:v>
      </x:c>
      <x:c r="D98" s="54" t="str">
        <x:f>TEXT(A98,"dddd")</x:f>
        <x:v>Tuesday</x:v>
      </x:c>
      <x:c r="E98" s="56" t="n">
        <x:f>IFERROR(VLOOKUP(D98,'Work Schedule'!$A$4:$F$10,2,FALSE),"")</x:f>
        <x:v>0.3333333333333333</x:v>
      </x:c>
      <x:c r="F98" s="56" t="n">
        <x:f>IFERROR(VLOOKUP(D98,'Work Schedule'!$A$4:$F$10,3,FALSE),"")</x:f>
        <x:v>0.7083333333333334</x:v>
      </x:c>
      <x:c r="G98" s="50"/>
      <x:c r="H98" s="50"/>
      <x:c r="I98" s="52" t="n">
        <x:v>0</x:v>
      </x:c>
      <x:c r="J98" s="36" t="str">
        <x:v>Paid Leave</x:v>
      </x:c>
      <x:c r="K98" s="52" t="n">
        <x:v>8</x:v>
      </x:c>
      <x:c r="L98" s="58" t="n">
        <x:f>IFERROR(VLOOKUP(D98,'Work Schedule'!$A$4:$F$10,5,FALSE),0)</x:f>
        <x:v>8</x:v>
      </x:c>
      <x:c r="M98" s="46" t="n">
        <x:f>IF(OR(G98="",H98=""),0,ROUND(MAX(0,(H98-G98)*24-I98),2))</x:f>
        <x:v>0</x:v>
      </x:c>
      <x:c r="N98" s="60" t="n">
        <x:f>A98-WEEKDAY(A98,2)+1</x:f>
        <x:v>46279</x:v>
      </x:c>
      <x:c r="O98" s="58" t="n">
        <x:f>ROUND(SUMIFS($M$4:$M$400,$B$4:$B$400,B98,$N$4:$N$400,N98,$A$4:$A$400,"&lt;="&amp;A98),2)</x:f>
        <x:v>7.97</x:v>
      </x:c>
      <x:c r="P98" s="46" t="n">
        <x:f>ROUND(MAX(0,M98-Q98),2)</x:f>
        <x:v>0</x:v>
      </x:c>
      <x:c r="Q98" s="46" t="n">
        <x:f>ROUND(MAX(0,O98-Settings!$B$13)-MAX(0,O98-M98-Settings!$B$13),2)</x:f>
        <x:v>0</x:v>
      </x:c>
      <x:c r="R98" s="46" t="n">
        <x:f>ROUND(M98+K98-L98,2)</x:f>
        <x:v>0</x:v>
      </x:c>
      <x:c r="S98" t="str">
        <x:f>IF(B98="","",IF(J98&lt;&gt;"None",J98,IF(Q98&gt;0,"Overtime",IF(G98&gt;E98,"Late",IF(H98&lt;F98,"Left Early","On Time")))))</x:f>
        <x:v>Paid Leave</x:v>
      </x:c>
      <x:c r="T98" s="36" t="str">
        <x:v>Approved paid sick day.</x:v>
      </x:c>
    </x:row>
    <x:row r="99">
      <x:c r="A99" s="37" t="n">
        <x:v>46281</x:v>
      </x:c>
      <x:c r="B99" s="36" t="str">
        <x:v>EMP-004</x:v>
      </x:c>
      <x:c r="C99" s="54" t="str">
        <x:f>IFERROR(VLOOKUP(B99,Employees!$A$4:$K$9,2,FALSE),"")</x:f>
        <x:v>Noah Williams</x:v>
      </x:c>
      <x:c r="D99" s="54" t="str">
        <x:f>TEXT(A99,"dddd")</x:f>
        <x:v>Wednesday</x:v>
      </x:c>
      <x:c r="E99" s="56" t="n">
        <x:f>IFERROR(VLOOKUP(D99,'Work Schedule'!$A$4:$F$10,2,FALSE),"")</x:f>
        <x:v>0.3333333333333333</x:v>
      </x:c>
      <x:c r="F99" s="56" t="n">
        <x:f>IFERROR(VLOOKUP(D99,'Work Schedule'!$A$4:$F$10,3,FALSE),"")</x:f>
        <x:v>0.7083333333333334</x:v>
      </x:c>
      <x:c r="G99" s="50" t="n">
        <x:v>0.3333333333333333</x:v>
      </x:c>
      <x:c r="H99" s="50" t="n">
        <x:v>0.7083333333333334</x:v>
      </x:c>
      <x:c r="I99" s="52" t="n">
        <x:v>1</x:v>
      </x:c>
      <x:c r="J99" s="36" t="str">
        <x:v>None</x:v>
      </x:c>
      <x:c r="K99" s="52" t="n">
        <x:v>0</x:v>
      </x:c>
      <x:c r="L99" s="58" t="n">
        <x:f>IFERROR(VLOOKUP(D99,'Work Schedule'!$A$4:$F$10,5,FALSE),0)</x:f>
        <x:v>8</x:v>
      </x:c>
      <x:c r="M99" s="46" t="n">
        <x:f>IF(OR(G99="",H99=""),0,ROUND(MAX(0,(H99-G99)*24-I99),2))</x:f>
        <x:v>8</x:v>
      </x:c>
      <x:c r="N99" s="60" t="n">
        <x:f>A99-WEEKDAY(A99,2)+1</x:f>
        <x:v>46279</x:v>
      </x:c>
      <x:c r="O99" s="58" t="n">
        <x:f>ROUND(SUMIFS($M$4:$M$400,$B$4:$B$400,B99,$N$4:$N$400,N99,$A$4:$A$400,"&lt;="&amp;A99),2)</x:f>
        <x:v>15.97</x:v>
      </x:c>
      <x:c r="P99" s="46" t="n">
        <x:f>ROUND(MAX(0,M99-Q99),2)</x:f>
        <x:v>8</x:v>
      </x:c>
      <x:c r="Q99" s="46" t="n">
        <x:f>ROUND(MAX(0,O99-Settings!$B$13)-MAX(0,O99-M99-Settings!$B$13),2)</x:f>
        <x:v>0</x:v>
      </x:c>
      <x:c r="R99" s="46" t="n">
        <x:f>ROUND(M99+K99-L99,2)</x:f>
        <x:v>0</x:v>
      </x:c>
      <x:c r="S99" t="str">
        <x:f>IF(B99="","",IF(J99&lt;&gt;"None",J99,IF(Q99&gt;0,"Overtime",IF(G99&gt;E99,"Late",IF(H99&lt;F99,"Left Early","On Time")))))</x:f>
        <x:v>On Time</x:v>
      </x:c>
      <x:c r="T99" s="36" t="str"/>
    </x:row>
    <x:row r="100">
      <x:c r="A100" s="37" t="n">
        <x:v>46282</x:v>
      </x:c>
      <x:c r="B100" s="36" t="str">
        <x:v>EMP-004</x:v>
      </x:c>
      <x:c r="C100" s="54" t="str">
        <x:f>IFERROR(VLOOKUP(B100,Employees!$A$4:$K$9,2,FALSE),"")</x:f>
        <x:v>Noah Williams</x:v>
      </x:c>
      <x:c r="D100" s="54" t="str">
        <x:f>TEXT(A100,"dddd")</x:f>
        <x:v>Thursday</x:v>
      </x:c>
      <x:c r="E100" s="56" t="n">
        <x:f>IFERROR(VLOOKUP(D100,'Work Schedule'!$A$4:$F$10,2,FALSE),"")</x:f>
        <x:v>0.3333333333333333</x:v>
      </x:c>
      <x:c r="F100" s="56" t="n">
        <x:f>IFERROR(VLOOKUP(D100,'Work Schedule'!$A$4:$F$10,3,FALSE),"")</x:f>
        <x:v>0.7083333333333334</x:v>
      </x:c>
      <x:c r="G100" s="50" t="n">
        <x:v>0.33125</x:v>
      </x:c>
      <x:c r="H100" s="50" t="n">
        <x:v>0.7104166666666667</x:v>
      </x:c>
      <x:c r="I100" s="52" t="n">
        <x:v>1</x:v>
      </x:c>
      <x:c r="J100" s="36" t="str">
        <x:v>None</x:v>
      </x:c>
      <x:c r="K100" s="52" t="n">
        <x:v>0</x:v>
      </x:c>
      <x:c r="L100" s="58" t="n">
        <x:f>IFERROR(VLOOKUP(D100,'Work Schedule'!$A$4:$F$10,5,FALSE),0)</x:f>
        <x:v>8</x:v>
      </x:c>
      <x:c r="M100" s="46" t="n">
        <x:f>IF(OR(G100="",H100=""),0,ROUND(MAX(0,(H100-G100)*24-I100),2))</x:f>
        <x:v>8.1</x:v>
      </x:c>
      <x:c r="N100" s="60" t="n">
        <x:f>A100-WEEKDAY(A100,2)+1</x:f>
        <x:v>46279</x:v>
      </x:c>
      <x:c r="O100" s="58" t="n">
        <x:f>ROUND(SUMIFS($M$4:$M$400,$B$4:$B$400,B100,$N$4:$N$400,N100,$A$4:$A$400,"&lt;="&amp;A100),2)</x:f>
        <x:v>24.07</x:v>
      </x:c>
      <x:c r="P100" s="46" t="n">
        <x:f>ROUND(MAX(0,M100-Q100),2)</x:f>
        <x:v>8.1</x:v>
      </x:c>
      <x:c r="Q100" s="46" t="n">
        <x:f>ROUND(MAX(0,O100-Settings!$B$13)-MAX(0,O100-M100-Settings!$B$13),2)</x:f>
        <x:v>0</x:v>
      </x:c>
      <x:c r="R100" s="46" t="n">
        <x:f>ROUND(M100+K100-L100,2)</x:f>
        <x:v>0.1</x:v>
      </x:c>
      <x:c r="S100" t="str">
        <x:f>IF(B100="","",IF(J100&lt;&gt;"None",J100,IF(Q100&gt;0,"Overtime",IF(G100&gt;E100,"Late",IF(H100&lt;F100,"Left Early","On Time")))))</x:f>
        <x:v>On Time</x:v>
      </x:c>
      <x:c r="T100" s="36" t="str"/>
    </x:row>
    <x:row r="101">
      <x:c r="A101" s="37" t="n">
        <x:v>46283</x:v>
      </x:c>
      <x:c r="B101" s="36" t="str">
        <x:v>EMP-004</x:v>
      </x:c>
      <x:c r="C101" s="54" t="str">
        <x:f>IFERROR(VLOOKUP(B101,Employees!$A$4:$K$9,2,FALSE),"")</x:f>
        <x:v>Noah Williams</x:v>
      </x:c>
      <x:c r="D101" s="54" t="str">
        <x:f>TEXT(A101,"dddd")</x:f>
        <x:v>Friday</x:v>
      </x:c>
      <x:c r="E101" s="56" t="n">
        <x:f>IFERROR(VLOOKUP(D101,'Work Schedule'!$A$4:$F$10,2,FALSE),"")</x:f>
        <x:v>0.3333333333333333</x:v>
      </x:c>
      <x:c r="F101" s="56" t="n">
        <x:f>IFERROR(VLOOKUP(D101,'Work Schedule'!$A$4:$F$10,3,FALSE),"")</x:f>
        <x:v>0.7083333333333334</x:v>
      </x:c>
      <x:c r="G101" s="50" t="n">
        <x:v>0.3333333333333333</x:v>
      </x:c>
      <x:c r="H101" s="50" t="n">
        <x:v>0.7083333333333334</x:v>
      </x:c>
      <x:c r="I101" s="52" t="n">
        <x:v>1</x:v>
      </x:c>
      <x:c r="J101" s="36" t="str">
        <x:v>None</x:v>
      </x:c>
      <x:c r="K101" s="52" t="n">
        <x:v>0</x:v>
      </x:c>
      <x:c r="L101" s="58" t="n">
        <x:f>IFERROR(VLOOKUP(D101,'Work Schedule'!$A$4:$F$10,5,FALSE),0)</x:f>
        <x:v>8</x:v>
      </x:c>
      <x:c r="M101" s="46" t="n">
        <x:f>IF(OR(G101="",H101=""),0,ROUND(MAX(0,(H101-G101)*24-I101),2))</x:f>
        <x:v>8</x:v>
      </x:c>
      <x:c r="N101" s="60" t="n">
        <x:f>A101-WEEKDAY(A101,2)+1</x:f>
        <x:v>46279</x:v>
      </x:c>
      <x:c r="O101" s="58" t="n">
        <x:f>ROUND(SUMIFS($M$4:$M$400,$B$4:$B$400,B101,$N$4:$N$400,N101,$A$4:$A$400,"&lt;="&amp;A101),2)</x:f>
        <x:v>32.07</x:v>
      </x:c>
      <x:c r="P101" s="46" t="n">
        <x:f>ROUND(MAX(0,M101-Q101),2)</x:f>
        <x:v>8</x:v>
      </x:c>
      <x:c r="Q101" s="46" t="n">
        <x:f>ROUND(MAX(0,O101-Settings!$B$13)-MAX(0,O101-M101-Settings!$B$13),2)</x:f>
        <x:v>0</x:v>
      </x:c>
      <x:c r="R101" s="46" t="n">
        <x:f>ROUND(M101+K101-L101,2)</x:f>
        <x:v>0</x:v>
      </x:c>
      <x:c r="S101" t="str">
        <x:f>IF(B101="","",IF(J101&lt;&gt;"None",J101,IF(Q101&gt;0,"Overtime",IF(G101&gt;E101,"Late",IF(H101&lt;F101,"Left Early","On Time")))))</x:f>
        <x:v>On Time</x:v>
      </x:c>
      <x:c r="T101" s="36" t="str"/>
    </x:row>
    <x:row r="102">
      <x:c r="A102" s="37" t="n">
        <x:v>46284</x:v>
      </x:c>
      <x:c r="B102" s="36" t="str">
        <x:v>EMP-004</x:v>
      </x:c>
      <x:c r="C102" s="54" t="str">
        <x:f>IFERROR(VLOOKUP(B102,Employees!$A$4:$K$9,2,FALSE),"")</x:f>
        <x:v>Noah Williams</x:v>
      </x:c>
      <x:c r="D102" s="54" t="str">
        <x:f>TEXT(A102,"dddd")</x:f>
        <x:v>Saturday</x:v>
      </x:c>
      <x:c r="E102" s="56" t="n">
        <x:f>IFERROR(VLOOKUP(D102,'Work Schedule'!$A$4:$F$10,2,FALSE),"")</x:f>
        <x:v>0.3333333333333333</x:v>
      </x:c>
      <x:c r="F102" s="56" t="n">
        <x:f>IFERROR(VLOOKUP(D102,'Work Schedule'!$A$4:$F$10,3,FALSE),"")</x:f>
        <x:v>0.5833333333333334</x:v>
      </x:c>
      <x:c r="G102" s="50" t="n">
        <x:v>0.33055555555555555</x:v>
      </x:c>
      <x:c r="H102" s="50" t="n">
        <x:v>0.5861111111111111</x:v>
      </x:c>
      <x:c r="I102" s="52" t="n">
        <x:v>1</x:v>
      </x:c>
      <x:c r="J102" s="36" t="str">
        <x:v>None</x:v>
      </x:c>
      <x:c r="K102" s="52" t="n">
        <x:v>0</x:v>
      </x:c>
      <x:c r="L102" s="58" t="n">
        <x:f>IFERROR(VLOOKUP(D102,'Work Schedule'!$A$4:$F$10,5,FALSE),0)</x:f>
        <x:v>5</x:v>
      </x:c>
      <x:c r="M102" s="46" t="n">
        <x:f>IF(OR(G102="",H102=""),0,ROUND(MAX(0,(H102-G102)*24-I102),2))</x:f>
        <x:v>5.13</x:v>
      </x:c>
      <x:c r="N102" s="60" t="n">
        <x:f>A102-WEEKDAY(A102,2)+1</x:f>
        <x:v>46279</x:v>
      </x:c>
      <x:c r="O102" s="58" t="n">
        <x:f>ROUND(SUMIFS($M$4:$M$400,$B$4:$B$400,B102,$N$4:$N$400,N102,$A$4:$A$400,"&lt;="&amp;A102),2)</x:f>
        <x:v>37.2</x:v>
      </x:c>
      <x:c r="P102" s="46" t="n">
        <x:f>ROUND(MAX(0,M102-Q102),2)</x:f>
        <x:v>5.13</x:v>
      </x:c>
      <x:c r="Q102" s="46" t="n">
        <x:f>ROUND(MAX(0,O102-Settings!$B$13)-MAX(0,O102-M102-Settings!$B$13),2)</x:f>
        <x:v>0</x:v>
      </x:c>
      <x:c r="R102" s="46" t="n">
        <x:f>ROUND(M102+K102-L102,2)</x:f>
        <x:v>0.13</x:v>
      </x:c>
      <x:c r="S102" t="str">
        <x:f>IF(B102="","",IF(J102&lt;&gt;"None",J102,IF(Q102&gt;0,"Overtime",IF(G102&gt;E102,"Late",IF(H102&lt;F102,"Left Early","On Time")))))</x:f>
        <x:v>On Time</x:v>
      </x:c>
      <x:c r="T102" s="36" t="str"/>
    </x:row>
    <x:row r="103">
      <x:c r="A103" s="37" t="n">
        <x:v>46286</x:v>
      </x:c>
      <x:c r="B103" s="36" t="str">
        <x:v>EMP-004</x:v>
      </x:c>
      <x:c r="C103" s="54" t="str">
        <x:f>IFERROR(VLOOKUP(B103,Employees!$A$4:$K$9,2,FALSE),"")</x:f>
        <x:v>Noah Williams</x:v>
      </x:c>
      <x:c r="D103" s="54" t="str">
        <x:f>TEXT(A103,"dddd")</x:f>
        <x:v>Monday</x:v>
      </x:c>
      <x:c r="E103" s="56" t="n">
        <x:f>IFERROR(VLOOKUP(D103,'Work Schedule'!$A$4:$F$10,2,FALSE),"")</x:f>
        <x:v>0.3333333333333333</x:v>
      </x:c>
      <x:c r="F103" s="56" t="n">
        <x:f>IFERROR(VLOOKUP(D103,'Work Schedule'!$A$4:$F$10,3,FALSE),"")</x:f>
        <x:v>0.7083333333333334</x:v>
      </x:c>
      <x:c r="G103" s="50" t="n">
        <x:v>0.3333333333333333</x:v>
      </x:c>
      <x:c r="H103" s="50" t="n">
        <x:v>0.7069444444444445</x:v>
      </x:c>
      <x:c r="I103" s="52" t="n">
        <x:v>1</x:v>
      </x:c>
      <x:c r="J103" s="36" t="str">
        <x:v>None</x:v>
      </x:c>
      <x:c r="K103" s="52" t="n">
        <x:v>0</x:v>
      </x:c>
      <x:c r="L103" s="58" t="n">
        <x:f>IFERROR(VLOOKUP(D103,'Work Schedule'!$A$4:$F$10,5,FALSE),0)</x:f>
        <x:v>8</x:v>
      </x:c>
      <x:c r="M103" s="46" t="n">
        <x:f>IF(OR(G103="",H103=""),0,ROUND(MAX(0,(H103-G103)*24-I103),2))</x:f>
        <x:v>7.97</x:v>
      </x:c>
      <x:c r="N103" s="60" t="n">
        <x:f>A103-WEEKDAY(A103,2)+1</x:f>
        <x:v>46286</x:v>
      </x:c>
      <x:c r="O103" s="58" t="n">
        <x:f>ROUND(SUMIFS($M$4:$M$400,$B$4:$B$400,B103,$N$4:$N$400,N103,$A$4:$A$400,"&lt;="&amp;A103),2)</x:f>
        <x:v>7.97</x:v>
      </x:c>
      <x:c r="P103" s="46" t="n">
        <x:f>ROUND(MAX(0,M103-Q103),2)</x:f>
        <x:v>7.97</x:v>
      </x:c>
      <x:c r="Q103" s="46" t="n">
        <x:f>ROUND(MAX(0,O103-Settings!$B$13)-MAX(0,O103-M103-Settings!$B$13),2)</x:f>
        <x:v>0</x:v>
      </x:c>
      <x:c r="R103" s="46" t="n">
        <x:f>ROUND(M103+K103-L103,2)</x:f>
        <x:v>-0.03</x:v>
      </x:c>
      <x:c r="S103" t="str">
        <x:f>IF(B103="","",IF(J103&lt;&gt;"None",J103,IF(Q103&gt;0,"Overtime",IF(G103&gt;E103,"Late",IF(H103&lt;F103,"Left Early","On Time")))))</x:f>
        <x:v>Left Early</x:v>
      </x:c>
      <x:c r="T103" s="36" t="str"/>
    </x:row>
    <x:row r="104">
      <x:c r="A104" s="37" t="n">
        <x:v>46287</x:v>
      </x:c>
      <x:c r="B104" s="36" t="str">
        <x:v>EMP-004</x:v>
      </x:c>
      <x:c r="C104" s="54" t="str">
        <x:f>IFERROR(VLOOKUP(B104,Employees!$A$4:$K$9,2,FALSE),"")</x:f>
        <x:v>Noah Williams</x:v>
      </x:c>
      <x:c r="D104" s="54" t="str">
        <x:f>TEXT(A104,"dddd")</x:f>
        <x:v>Tuesday</x:v>
      </x:c>
      <x:c r="E104" s="56" t="n">
        <x:f>IFERROR(VLOOKUP(D104,'Work Schedule'!$A$4:$F$10,2,FALSE),"")</x:f>
        <x:v>0.3333333333333333</x:v>
      </x:c>
      <x:c r="F104" s="56" t="n">
        <x:f>IFERROR(VLOOKUP(D104,'Work Schedule'!$A$4:$F$10,3,FALSE),"")</x:f>
        <x:v>0.7083333333333334</x:v>
      </x:c>
      <x:c r="G104" s="50" t="n">
        <x:v>0.3333333333333333</x:v>
      </x:c>
      <x:c r="H104" s="50" t="n">
        <x:v>0.7083333333333334</x:v>
      </x:c>
      <x:c r="I104" s="52" t="n">
        <x:v>1</x:v>
      </x:c>
      <x:c r="J104" s="36" t="str">
        <x:v>None</x:v>
      </x:c>
      <x:c r="K104" s="52" t="n">
        <x:v>0</x:v>
      </x:c>
      <x:c r="L104" s="58" t="n">
        <x:f>IFERROR(VLOOKUP(D104,'Work Schedule'!$A$4:$F$10,5,FALSE),0)</x:f>
        <x:v>8</x:v>
      </x:c>
      <x:c r="M104" s="46" t="n">
        <x:f>IF(OR(G104="",H104=""),0,ROUND(MAX(0,(H104-G104)*24-I104),2))</x:f>
        <x:v>8</x:v>
      </x:c>
      <x:c r="N104" s="60" t="n">
        <x:f>A104-WEEKDAY(A104,2)+1</x:f>
        <x:v>46286</x:v>
      </x:c>
      <x:c r="O104" s="58" t="n">
        <x:f>ROUND(SUMIFS($M$4:$M$400,$B$4:$B$400,B104,$N$4:$N$400,N104,$A$4:$A$400,"&lt;="&amp;A104),2)</x:f>
        <x:v>15.97</x:v>
      </x:c>
      <x:c r="P104" s="46" t="n">
        <x:f>ROUND(MAX(0,M104-Q104),2)</x:f>
        <x:v>8</x:v>
      </x:c>
      <x:c r="Q104" s="46" t="n">
        <x:f>ROUND(MAX(0,O104-Settings!$B$13)-MAX(0,O104-M104-Settings!$B$13),2)</x:f>
        <x:v>0</x:v>
      </x:c>
      <x:c r="R104" s="46" t="n">
        <x:f>ROUND(M104+K104-L104,2)</x:f>
        <x:v>0</x:v>
      </x:c>
      <x:c r="S104" t="str">
        <x:f>IF(B104="","",IF(J104&lt;&gt;"None",J104,IF(Q104&gt;0,"Overtime",IF(G104&gt;E104,"Late",IF(H104&lt;F104,"Left Early","On Time")))))</x:f>
        <x:v>On Time</x:v>
      </x:c>
      <x:c r="T104" s="36" t="str"/>
    </x:row>
    <x:row r="105">
      <x:c r="A105" s="37" t="n">
        <x:v>46288</x:v>
      </x:c>
      <x:c r="B105" s="36" t="str">
        <x:v>EMP-004</x:v>
      </x:c>
      <x:c r="C105" s="54" t="str">
        <x:f>IFERROR(VLOOKUP(B105,Employees!$A$4:$K$9,2,FALSE),"")</x:f>
        <x:v>Noah Williams</x:v>
      </x:c>
      <x:c r="D105" s="54" t="str">
        <x:f>TEXT(A105,"dddd")</x:f>
        <x:v>Wednesday</x:v>
      </x:c>
      <x:c r="E105" s="56" t="n">
        <x:f>IFERROR(VLOOKUP(D105,'Work Schedule'!$A$4:$F$10,2,FALSE),"")</x:f>
        <x:v>0.3333333333333333</x:v>
      </x:c>
      <x:c r="F105" s="56" t="n">
        <x:f>IFERROR(VLOOKUP(D105,'Work Schedule'!$A$4:$F$10,3,FALSE),"")</x:f>
        <x:v>0.7083333333333334</x:v>
      </x:c>
      <x:c r="G105" s="50" t="n">
        <x:v>0.3333333333333333</x:v>
      </x:c>
      <x:c r="H105" s="50" t="n">
        <x:v>0.7111111111111111</x:v>
      </x:c>
      <x:c r="I105" s="52" t="n">
        <x:v>1</x:v>
      </x:c>
      <x:c r="J105" s="36" t="str">
        <x:v>None</x:v>
      </x:c>
      <x:c r="K105" s="52" t="n">
        <x:v>0</x:v>
      </x:c>
      <x:c r="L105" s="58" t="n">
        <x:f>IFERROR(VLOOKUP(D105,'Work Schedule'!$A$4:$F$10,5,FALSE),0)</x:f>
        <x:v>8</x:v>
      </x:c>
      <x:c r="M105" s="46" t="n">
        <x:f>IF(OR(G105="",H105=""),0,ROUND(MAX(0,(H105-G105)*24-I105),2))</x:f>
        <x:v>8.07</x:v>
      </x:c>
      <x:c r="N105" s="60" t="n">
        <x:f>A105-WEEKDAY(A105,2)+1</x:f>
        <x:v>46286</x:v>
      </x:c>
      <x:c r="O105" s="58" t="n">
        <x:f>ROUND(SUMIFS($M$4:$M$400,$B$4:$B$400,B105,$N$4:$N$400,N105,$A$4:$A$400,"&lt;="&amp;A105),2)</x:f>
        <x:v>24.04</x:v>
      </x:c>
      <x:c r="P105" s="46" t="n">
        <x:f>ROUND(MAX(0,M105-Q105),2)</x:f>
        <x:v>8.07</x:v>
      </x:c>
      <x:c r="Q105" s="46" t="n">
        <x:f>ROUND(MAX(0,O105-Settings!$B$13)-MAX(0,O105-M105-Settings!$B$13),2)</x:f>
        <x:v>0</x:v>
      </x:c>
      <x:c r="R105" s="46" t="n">
        <x:f>ROUND(M105+K105-L105,2)</x:f>
        <x:v>0.07</x:v>
      </x:c>
      <x:c r="S105" t="str">
        <x:f>IF(B105="","",IF(J105&lt;&gt;"None",J105,IF(Q105&gt;0,"Overtime",IF(G105&gt;E105,"Late",IF(H105&lt;F105,"Left Early","On Time")))))</x:f>
        <x:v>On Time</x:v>
      </x:c>
      <x:c r="T105" s="36" t="str"/>
    </x:row>
    <x:row r="106">
      <x:c r="A106" s="37" t="n">
        <x:v>46289</x:v>
      </x:c>
      <x:c r="B106" s="36" t="str">
        <x:v>EMP-004</x:v>
      </x:c>
      <x:c r="C106" s="54" t="str">
        <x:f>IFERROR(VLOOKUP(B106,Employees!$A$4:$K$9,2,FALSE),"")</x:f>
        <x:v>Noah Williams</x:v>
      </x:c>
      <x:c r="D106" s="54" t="str">
        <x:f>TEXT(A106,"dddd")</x:f>
        <x:v>Thursday</x:v>
      </x:c>
      <x:c r="E106" s="56" t="n">
        <x:f>IFERROR(VLOOKUP(D106,'Work Schedule'!$A$4:$F$10,2,FALSE),"")</x:f>
        <x:v>0.3333333333333333</x:v>
      </x:c>
      <x:c r="F106" s="56" t="n">
        <x:f>IFERROR(VLOOKUP(D106,'Work Schedule'!$A$4:$F$10,3,FALSE),"")</x:f>
        <x:v>0.7083333333333334</x:v>
      </x:c>
      <x:c r="G106" s="50" t="n">
        <x:v>0.33055555555555555</x:v>
      </x:c>
      <x:c r="H106" s="50" t="n">
        <x:v>0.7097222222222223</x:v>
      </x:c>
      <x:c r="I106" s="52" t="n">
        <x:v>1</x:v>
      </x:c>
      <x:c r="J106" s="36" t="str">
        <x:v>None</x:v>
      </x:c>
      <x:c r="K106" s="52" t="n">
        <x:v>0</x:v>
      </x:c>
      <x:c r="L106" s="58" t="n">
        <x:f>IFERROR(VLOOKUP(D106,'Work Schedule'!$A$4:$F$10,5,FALSE),0)</x:f>
        <x:v>8</x:v>
      </x:c>
      <x:c r="M106" s="46" t="n">
        <x:f>IF(OR(G106="",H106=""),0,ROUND(MAX(0,(H106-G106)*24-I106),2))</x:f>
        <x:v>8.1</x:v>
      </x:c>
      <x:c r="N106" s="60" t="n">
        <x:f>A106-WEEKDAY(A106,2)+1</x:f>
        <x:v>46286</x:v>
      </x:c>
      <x:c r="O106" s="58" t="n">
        <x:f>ROUND(SUMIFS($M$4:$M$400,$B$4:$B$400,B106,$N$4:$N$400,N106,$A$4:$A$400,"&lt;="&amp;A106),2)</x:f>
        <x:v>32.14</x:v>
      </x:c>
      <x:c r="P106" s="46" t="n">
        <x:f>ROUND(MAX(0,M106-Q106),2)</x:f>
        <x:v>8.1</x:v>
      </x:c>
      <x:c r="Q106" s="46" t="n">
        <x:f>ROUND(MAX(0,O106-Settings!$B$13)-MAX(0,O106-M106-Settings!$B$13),2)</x:f>
        <x:v>0</x:v>
      </x:c>
      <x:c r="R106" s="46" t="n">
        <x:f>ROUND(M106+K106-L106,2)</x:f>
        <x:v>0.1</x:v>
      </x:c>
      <x:c r="S106" t="str">
        <x:f>IF(B106="","",IF(J106&lt;&gt;"None",J106,IF(Q106&gt;0,"Overtime",IF(G106&gt;E106,"Late",IF(H106&lt;F106,"Left Early","On Time")))))</x:f>
        <x:v>On Time</x:v>
      </x:c>
      <x:c r="T106" s="36" t="str"/>
    </x:row>
    <x:row r="107">
      <x:c r="A107" s="37" t="n">
        <x:v>46290</x:v>
      </x:c>
      <x:c r="B107" s="36" t="str">
        <x:v>EMP-004</x:v>
      </x:c>
      <x:c r="C107" s="54" t="str">
        <x:f>IFERROR(VLOOKUP(B107,Employees!$A$4:$K$9,2,FALSE),"")</x:f>
        <x:v>Noah Williams</x:v>
      </x:c>
      <x:c r="D107" s="54" t="str">
        <x:f>TEXT(A107,"dddd")</x:f>
        <x:v>Friday</x:v>
      </x:c>
      <x:c r="E107" s="56" t="n">
        <x:f>IFERROR(VLOOKUP(D107,'Work Schedule'!$A$4:$F$10,2,FALSE),"")</x:f>
        <x:v>0.3333333333333333</x:v>
      </x:c>
      <x:c r="F107" s="56" t="n">
        <x:f>IFERROR(VLOOKUP(D107,'Work Schedule'!$A$4:$F$10,3,FALSE),"")</x:f>
        <x:v>0.7083333333333334</x:v>
      </x:c>
      <x:c r="G107" s="50" t="n">
        <x:v>0.33194444444444443</x:v>
      </x:c>
      <x:c r="H107" s="50" t="n">
        <x:v>0.7097222222222223</x:v>
      </x:c>
      <x:c r="I107" s="52" t="n">
        <x:v>1</x:v>
      </x:c>
      <x:c r="J107" s="36" t="str">
        <x:v>None</x:v>
      </x:c>
      <x:c r="K107" s="52" t="n">
        <x:v>0</x:v>
      </x:c>
      <x:c r="L107" s="58" t="n">
        <x:f>IFERROR(VLOOKUP(D107,'Work Schedule'!$A$4:$F$10,5,FALSE),0)</x:f>
        <x:v>8</x:v>
      </x:c>
      <x:c r="M107" s="46" t="n">
        <x:f>IF(OR(G107="",H107=""),0,ROUND(MAX(0,(H107-G107)*24-I107),2))</x:f>
        <x:v>8.07</x:v>
      </x:c>
      <x:c r="N107" s="60" t="n">
        <x:f>A107-WEEKDAY(A107,2)+1</x:f>
        <x:v>46286</x:v>
      </x:c>
      <x:c r="O107" s="58" t="n">
        <x:f>ROUND(SUMIFS($M$4:$M$400,$B$4:$B$400,B107,$N$4:$N$400,N107,$A$4:$A$400,"&lt;="&amp;A107),2)</x:f>
        <x:v>40.21</x:v>
      </x:c>
      <x:c r="P107" s="46" t="n">
        <x:f>ROUND(MAX(0,M107-Q107),2)</x:f>
        <x:v>8.07</x:v>
      </x:c>
      <x:c r="Q107" s="46" t="n">
        <x:f>ROUND(MAX(0,O107-Settings!$B$13)-MAX(0,O107-M107-Settings!$B$13),2)</x:f>
        <x:v>0</x:v>
      </x:c>
      <x:c r="R107" s="46" t="n">
        <x:f>ROUND(M107+K107-L107,2)</x:f>
        <x:v>0.07</x:v>
      </x:c>
      <x:c r="S107" t="str">
        <x:f>IF(B107="","",IF(J107&lt;&gt;"None",J107,IF(Q107&gt;0,"Overtime",IF(G107&gt;E107,"Late",IF(H107&lt;F107,"Left Early","On Time")))))</x:f>
        <x:v>On Time</x:v>
      </x:c>
      <x:c r="T107" s="36" t="str"/>
    </x:row>
    <x:row r="108">
      <x:c r="A108" s="37" t="n">
        <x:v>46291</x:v>
      </x:c>
      <x:c r="B108" s="36" t="str">
        <x:v>EMP-004</x:v>
      </x:c>
      <x:c r="C108" s="54" t="str">
        <x:f>IFERROR(VLOOKUP(B108,Employees!$A$4:$K$9,2,FALSE),"")</x:f>
        <x:v>Noah Williams</x:v>
      </x:c>
      <x:c r="D108" s="54" t="str">
        <x:f>TEXT(A108,"dddd")</x:f>
        <x:v>Saturday</x:v>
      </x:c>
      <x:c r="E108" s="56" t="n">
        <x:f>IFERROR(VLOOKUP(D108,'Work Schedule'!$A$4:$F$10,2,FALSE),"")</x:f>
        <x:v>0.3333333333333333</x:v>
      </x:c>
      <x:c r="F108" s="56" t="n">
        <x:f>IFERROR(VLOOKUP(D108,'Work Schedule'!$A$4:$F$10,3,FALSE),"")</x:f>
        <x:v>0.5833333333333334</x:v>
      </x:c>
      <x:c r="G108" s="50"/>
      <x:c r="H108" s="50"/>
      <x:c r="I108" s="52" t="n">
        <x:v>0</x:v>
      </x:c>
      <x:c r="J108" s="36" t="str">
        <x:v>Unpaid Leave</x:v>
      </x:c>
      <x:c r="K108" s="52" t="n">
        <x:v>5</x:v>
      </x:c>
      <x:c r="L108" s="58" t="n">
        <x:f>IFERROR(VLOOKUP(D108,'Work Schedule'!$A$4:$F$10,5,FALSE),0)</x:f>
        <x:v>5</x:v>
      </x:c>
      <x:c r="M108" s="46" t="n">
        <x:f>IF(OR(G108="",H108=""),0,ROUND(MAX(0,(H108-G108)*24-I108),2))</x:f>
        <x:v>0</x:v>
      </x:c>
      <x:c r="N108" s="60" t="n">
        <x:f>A108-WEEKDAY(A108,2)+1</x:f>
        <x:v>46286</x:v>
      </x:c>
      <x:c r="O108" s="58" t="n">
        <x:f>ROUND(SUMIFS($M$4:$M$400,$B$4:$B$400,B108,$N$4:$N$400,N108,$A$4:$A$400,"&lt;="&amp;A108),2)</x:f>
        <x:v>40.21</x:v>
      </x:c>
      <x:c r="P108" s="46" t="n">
        <x:f>ROUND(MAX(0,M108-Q108),2)</x:f>
        <x:v>0</x:v>
      </x:c>
      <x:c r="Q108" s="46" t="n">
        <x:f>ROUND(MAX(0,O108-Settings!$B$13)-MAX(0,O108-M108-Settings!$B$13),2)</x:f>
        <x:v>0</x:v>
      </x:c>
      <x:c r="R108" s="46" t="n">
        <x:f>ROUND(M108+K108-L108,2)</x:f>
        <x:v>0</x:v>
      </x:c>
      <x:c r="S108" t="str">
        <x:f>IF(B108="","",IF(J108&lt;&gt;"None",J108,IF(Q108&gt;0,"Overtime",IF(G108&gt;E108,"Late",IF(H108&lt;F108,"Left Early","On Time")))))</x:f>
        <x:v>Unpaid Leave</x:v>
      </x:c>
      <x:c r="T108" s="36" t="str">
        <x:v>Approved unpaid Saturday leave.</x:v>
      </x:c>
    </x:row>
    <x:row r="109">
      <x:c r="A109" s="37" t="n">
        <x:v>46293</x:v>
      </x:c>
      <x:c r="B109" s="36" t="str">
        <x:v>EMP-004</x:v>
      </x:c>
      <x:c r="C109" s="54" t="str">
        <x:f>IFERROR(VLOOKUP(B109,Employees!$A$4:$K$9,2,FALSE),"")</x:f>
        <x:v>Noah Williams</x:v>
      </x:c>
      <x:c r="D109" s="54" t="str">
        <x:f>TEXT(A109,"dddd")</x:f>
        <x:v>Monday</x:v>
      </x:c>
      <x:c r="E109" s="56" t="n">
        <x:f>IFERROR(VLOOKUP(D109,'Work Schedule'!$A$4:$F$10,2,FALSE),"")</x:f>
        <x:v>0.3333333333333333</x:v>
      </x:c>
      <x:c r="F109" s="56" t="n">
        <x:f>IFERROR(VLOOKUP(D109,'Work Schedule'!$A$4:$F$10,3,FALSE),"")</x:f>
        <x:v>0.7083333333333334</x:v>
      </x:c>
      <x:c r="G109" s="50" t="n">
        <x:v>0.3333333333333333</x:v>
      </x:c>
      <x:c r="H109" s="50" t="n">
        <x:v>0.7083333333333334</x:v>
      </x:c>
      <x:c r="I109" s="52" t="n">
        <x:v>1</x:v>
      </x:c>
      <x:c r="J109" s="36" t="str">
        <x:v>None</x:v>
      </x:c>
      <x:c r="K109" s="52" t="n">
        <x:v>0</x:v>
      </x:c>
      <x:c r="L109" s="58" t="n">
        <x:f>IFERROR(VLOOKUP(D109,'Work Schedule'!$A$4:$F$10,5,FALSE),0)</x:f>
        <x:v>8</x:v>
      </x:c>
      <x:c r="M109" s="46" t="n">
        <x:f>IF(OR(G109="",H109=""),0,ROUND(MAX(0,(H109-G109)*24-I109),2))</x:f>
        <x:v>8</x:v>
      </x:c>
      <x:c r="N109" s="60" t="n">
        <x:f>A109-WEEKDAY(A109,2)+1</x:f>
        <x:v>46293</x:v>
      </x:c>
      <x:c r="O109" s="58" t="n">
        <x:f>ROUND(SUMIFS($M$4:$M$400,$B$4:$B$400,B109,$N$4:$N$400,N109,$A$4:$A$400,"&lt;="&amp;A109),2)</x:f>
        <x:v>8</x:v>
      </x:c>
      <x:c r="P109" s="46" t="n">
        <x:f>ROUND(MAX(0,M109-Q109),2)</x:f>
        <x:v>8</x:v>
      </x:c>
      <x:c r="Q109" s="46" t="n">
        <x:f>ROUND(MAX(0,O109-Settings!$B$13)-MAX(0,O109-M109-Settings!$B$13),2)</x:f>
        <x:v>0</x:v>
      </x:c>
      <x:c r="R109" s="46" t="n">
        <x:f>ROUND(M109+K109-L109,2)</x:f>
        <x:v>0</x:v>
      </x:c>
      <x:c r="S109" t="str">
        <x:f>IF(B109="","",IF(J109&lt;&gt;"None",J109,IF(Q109&gt;0,"Overtime",IF(G109&gt;E109,"Late",IF(H109&lt;F109,"Left Early","On Time")))))</x:f>
        <x:v>On Time</x:v>
      </x:c>
      <x:c r="T109" s="36" t="str"/>
    </x:row>
    <x:row r="110">
      <x:c r="A110" s="37" t="n">
        <x:v>46294</x:v>
      </x:c>
      <x:c r="B110" s="36" t="str">
        <x:v>EMP-004</x:v>
      </x:c>
      <x:c r="C110" s="54" t="str">
        <x:f>IFERROR(VLOOKUP(B110,Employees!$A$4:$K$9,2,FALSE),"")</x:f>
        <x:v>Noah Williams</x:v>
      </x:c>
      <x:c r="D110" s="54" t="str">
        <x:f>TEXT(A110,"dddd")</x:f>
        <x:v>Tuesday</x:v>
      </x:c>
      <x:c r="E110" s="56" t="n">
        <x:f>IFERROR(VLOOKUP(D110,'Work Schedule'!$A$4:$F$10,2,FALSE),"")</x:f>
        <x:v>0.3333333333333333</x:v>
      </x:c>
      <x:c r="F110" s="56" t="n">
        <x:f>IFERROR(VLOOKUP(D110,'Work Schedule'!$A$4:$F$10,3,FALSE),"")</x:f>
        <x:v>0.7083333333333334</x:v>
      </x:c>
      <x:c r="G110" s="50" t="n">
        <x:v>0.3333333333333333</x:v>
      </x:c>
      <x:c r="H110" s="50" t="n">
        <x:v>0.7083333333333334</x:v>
      </x:c>
      <x:c r="I110" s="52" t="n">
        <x:v>1</x:v>
      </x:c>
      <x:c r="J110" s="36" t="str">
        <x:v>None</x:v>
      </x:c>
      <x:c r="K110" s="52" t="n">
        <x:v>0</x:v>
      </x:c>
      <x:c r="L110" s="58" t="n">
        <x:f>IFERROR(VLOOKUP(D110,'Work Schedule'!$A$4:$F$10,5,FALSE),0)</x:f>
        <x:v>8</x:v>
      </x:c>
      <x:c r="M110" s="46" t="n">
        <x:f>IF(OR(G110="",H110=""),0,ROUND(MAX(0,(H110-G110)*24-I110),2))</x:f>
        <x:v>8</x:v>
      </x:c>
      <x:c r="N110" s="60" t="n">
        <x:f>A110-WEEKDAY(A110,2)+1</x:f>
        <x:v>46293</x:v>
      </x:c>
      <x:c r="O110" s="58" t="n">
        <x:f>ROUND(SUMIFS($M$4:$M$400,$B$4:$B$400,B110,$N$4:$N$400,N110,$A$4:$A$400,"&lt;="&amp;A110),2)</x:f>
        <x:v>16</x:v>
      </x:c>
      <x:c r="P110" s="46" t="n">
        <x:f>ROUND(MAX(0,M110-Q110),2)</x:f>
        <x:v>8</x:v>
      </x:c>
      <x:c r="Q110" s="46" t="n">
        <x:f>ROUND(MAX(0,O110-Settings!$B$13)-MAX(0,O110-M110-Settings!$B$13),2)</x:f>
        <x:v>0</x:v>
      </x:c>
      <x:c r="R110" s="46" t="n">
        <x:f>ROUND(M110+K110-L110,2)</x:f>
        <x:v>0</x:v>
      </x:c>
      <x:c r="S110" t="str">
        <x:f>IF(B110="","",IF(J110&lt;&gt;"None",J110,IF(Q110&gt;0,"Overtime",IF(G110&gt;E110,"Late",IF(H110&lt;F110,"Left Early","On Time")))))</x:f>
        <x:v>On Time</x:v>
      </x:c>
      <x:c r="T110" s="36" t="str"/>
    </x:row>
    <x:row r="111">
      <x:c r="A111" s="37" t="n">
        <x:v>46295</x:v>
      </x:c>
      <x:c r="B111" s="36" t="str">
        <x:v>EMP-004</x:v>
      </x:c>
      <x:c r="C111" s="54" t="str">
        <x:f>IFERROR(VLOOKUP(B111,Employees!$A$4:$K$9,2,FALSE),"")</x:f>
        <x:v>Noah Williams</x:v>
      </x:c>
      <x:c r="D111" s="54" t="str">
        <x:f>TEXT(A111,"dddd")</x:f>
        <x:v>Wednesday</x:v>
      </x:c>
      <x:c r="E111" s="56" t="n">
        <x:f>IFERROR(VLOOKUP(D111,'Work Schedule'!$A$4:$F$10,2,FALSE),"")</x:f>
        <x:v>0.3333333333333333</x:v>
      </x:c>
      <x:c r="F111" s="56" t="n">
        <x:f>IFERROR(VLOOKUP(D111,'Work Schedule'!$A$4:$F$10,3,FALSE),"")</x:f>
        <x:v>0.7083333333333334</x:v>
      </x:c>
      <x:c r="G111" s="50" t="n">
        <x:v>0.33055555555555555</x:v>
      </x:c>
      <x:c r="H111" s="50" t="n">
        <x:v>0.7111111111111111</x:v>
      </x:c>
      <x:c r="I111" s="52" t="n">
        <x:v>1</x:v>
      </x:c>
      <x:c r="J111" s="36" t="str">
        <x:v>None</x:v>
      </x:c>
      <x:c r="K111" s="52" t="n">
        <x:v>0</x:v>
      </x:c>
      <x:c r="L111" s="58" t="n">
        <x:f>IFERROR(VLOOKUP(D111,'Work Schedule'!$A$4:$F$10,5,FALSE),0)</x:f>
        <x:v>8</x:v>
      </x:c>
      <x:c r="M111" s="46" t="n">
        <x:f>IF(OR(G111="",H111=""),0,ROUND(MAX(0,(H111-G111)*24-I111),2))</x:f>
        <x:v>8.13</x:v>
      </x:c>
      <x:c r="N111" s="60" t="n">
        <x:f>A111-WEEKDAY(A111,2)+1</x:f>
        <x:v>46293</x:v>
      </x:c>
      <x:c r="O111" s="58" t="n">
        <x:f>ROUND(SUMIFS($M$4:$M$400,$B$4:$B$400,B111,$N$4:$N$400,N111,$A$4:$A$400,"&lt;="&amp;A111),2)</x:f>
        <x:v>24.13</x:v>
      </x:c>
      <x:c r="P111" s="46" t="n">
        <x:f>ROUND(MAX(0,M111-Q111),2)</x:f>
        <x:v>8.13</x:v>
      </x:c>
      <x:c r="Q111" s="46" t="n">
        <x:f>ROUND(MAX(0,O111-Settings!$B$13)-MAX(0,O111-M111-Settings!$B$13),2)</x:f>
        <x:v>0</x:v>
      </x:c>
      <x:c r="R111" s="46" t="n">
        <x:f>ROUND(M111+K111-L111,2)</x:f>
        <x:v>0.13</x:v>
      </x:c>
      <x:c r="S111" t="str">
        <x:f>IF(B111="","",IF(J111&lt;&gt;"None",J111,IF(Q111&gt;0,"Overtime",IF(G111&gt;E111,"Late",IF(H111&lt;F111,"Left Early","On Time")))))</x:f>
        <x:v>On Time</x:v>
      </x:c>
      <x:c r="T111" s="36" t="str"/>
    </x:row>
    <x:row r="112">
      <x:c r="A112" s="37" t="n">
        <x:v>46265</x:v>
      </x:c>
      <x:c r="B112" s="36" t="str">
        <x:v>EMP-005</x:v>
      </x:c>
      <x:c r="C112" s="54" t="str">
        <x:f>IFERROR(VLOOKUP(B112,Employees!$A$4:$K$9,2,FALSE),"")</x:f>
        <x:v>Sophia Nguyen</x:v>
      </x:c>
      <x:c r="D112" s="54" t="str">
        <x:f>TEXT(A112,"dddd")</x:f>
        <x:v>Monday</x:v>
      </x:c>
      <x:c r="E112" s="56" t="n">
        <x:f>IFERROR(VLOOKUP(D112,'Work Schedule'!$A$4:$F$10,2,FALSE),"")</x:f>
        <x:v>0.3333333333333333</x:v>
      </x:c>
      <x:c r="F112" s="56" t="n">
        <x:f>IFERROR(VLOOKUP(D112,'Work Schedule'!$A$4:$F$10,3,FALSE),"")</x:f>
        <x:v>0.7083333333333334</x:v>
      </x:c>
      <x:c r="G112" s="50" t="n">
        <x:v>0.33402777777777776</x:v>
      </x:c>
      <x:c r="H112" s="50" t="n">
        <x:v>0.7083333333333334</x:v>
      </x:c>
      <x:c r="I112" s="52" t="n">
        <x:v>1</x:v>
      </x:c>
      <x:c r="J112" s="36" t="str">
        <x:v>None</x:v>
      </x:c>
      <x:c r="K112" s="52" t="n">
        <x:v>0</x:v>
      </x:c>
      <x:c r="L112" s="58" t="n">
        <x:f>IFERROR(VLOOKUP(D112,'Work Schedule'!$A$4:$F$10,5,FALSE),0)</x:f>
        <x:v>8</x:v>
      </x:c>
      <x:c r="M112" s="46" t="n">
        <x:f>IF(OR(G112="",H112=""),0,ROUND(MAX(0,(H112-G112)*24-I112),2))</x:f>
        <x:v>7.98</x:v>
      </x:c>
      <x:c r="N112" s="60" t="n">
        <x:f>A112-WEEKDAY(A112,2)+1</x:f>
        <x:v>46265</x:v>
      </x:c>
      <x:c r="O112" s="58" t="n">
        <x:f>ROUND(SUMIFS($M$4:$M$400,$B$4:$B$400,B112,$N$4:$N$400,N112,$A$4:$A$400,"&lt;="&amp;A112),2)</x:f>
        <x:v>7.98</x:v>
      </x:c>
      <x:c r="P112" s="46" t="n">
        <x:f>ROUND(MAX(0,M112-Q112),2)</x:f>
        <x:v>7.98</x:v>
      </x:c>
      <x:c r="Q112" s="46" t="n">
        <x:f>ROUND(MAX(0,O112-Settings!$B$13)-MAX(0,O112-M112-Settings!$B$13),2)</x:f>
        <x:v>0</x:v>
      </x:c>
      <x:c r="R112" s="46" t="n">
        <x:f>ROUND(M112+K112-L112,2)</x:f>
        <x:v>-0.02</x:v>
      </x:c>
      <x:c r="S112" t="str">
        <x:f>IF(B112="","",IF(J112&lt;&gt;"None",J112,IF(Q112&gt;0,"Overtime",IF(G112&gt;E112,"Late",IF(H112&lt;F112,"Left Early","On Time")))))</x:f>
        <x:v>Late</x:v>
      </x:c>
      <x:c r="T112" s="36" t="str"/>
    </x:row>
    <x:row r="113">
      <x:c r="A113" s="37" t="n">
        <x:v>46266</x:v>
      </x:c>
      <x:c r="B113" s="36" t="str">
        <x:v>EMP-005</x:v>
      </x:c>
      <x:c r="C113" s="54" t="str">
        <x:f>IFERROR(VLOOKUP(B113,Employees!$A$4:$K$9,2,FALSE),"")</x:f>
        <x:v>Sophia Nguyen</x:v>
      </x:c>
      <x:c r="D113" s="54" t="str">
        <x:f>TEXT(A113,"dddd")</x:f>
        <x:v>Tuesday</x:v>
      </x:c>
      <x:c r="E113" s="56" t="n">
        <x:f>IFERROR(VLOOKUP(D113,'Work Schedule'!$A$4:$F$10,2,FALSE),"")</x:f>
        <x:v>0.3333333333333333</x:v>
      </x:c>
      <x:c r="F113" s="56" t="n">
        <x:f>IFERROR(VLOOKUP(D113,'Work Schedule'!$A$4:$F$10,3,FALSE),"")</x:f>
        <x:v>0.7083333333333334</x:v>
      </x:c>
      <x:c r="G113" s="50" t="n">
        <x:v>0.3333333333333333</x:v>
      </x:c>
      <x:c r="H113" s="50" t="n">
        <x:v>0.7125</x:v>
      </x:c>
      <x:c r="I113" s="52" t="n">
        <x:v>1</x:v>
      </x:c>
      <x:c r="J113" s="36" t="str">
        <x:v>None</x:v>
      </x:c>
      <x:c r="K113" s="52" t="n">
        <x:v>0</x:v>
      </x:c>
      <x:c r="L113" s="58" t="n">
        <x:f>IFERROR(VLOOKUP(D113,'Work Schedule'!$A$4:$F$10,5,FALSE),0)</x:f>
        <x:v>8</x:v>
      </x:c>
      <x:c r="M113" s="46" t="n">
        <x:f>IF(OR(G113="",H113=""),0,ROUND(MAX(0,(H113-G113)*24-I113),2))</x:f>
        <x:v>8.1</x:v>
      </x:c>
      <x:c r="N113" s="60" t="n">
        <x:f>A113-WEEKDAY(A113,2)+1</x:f>
        <x:v>46265</x:v>
      </x:c>
      <x:c r="O113" s="58" t="n">
        <x:f>ROUND(SUMIFS($M$4:$M$400,$B$4:$B$400,B113,$N$4:$N$400,N113,$A$4:$A$400,"&lt;="&amp;A113),2)</x:f>
        <x:v>16.08</x:v>
      </x:c>
      <x:c r="P113" s="46" t="n">
        <x:f>ROUND(MAX(0,M113-Q113),2)</x:f>
        <x:v>8.1</x:v>
      </x:c>
      <x:c r="Q113" s="46" t="n">
        <x:f>ROUND(MAX(0,O113-Settings!$B$13)-MAX(0,O113-M113-Settings!$B$13),2)</x:f>
        <x:v>0</x:v>
      </x:c>
      <x:c r="R113" s="46" t="n">
        <x:f>ROUND(M113+K113-L113,2)</x:f>
        <x:v>0.1</x:v>
      </x:c>
      <x:c r="S113" t="str">
        <x:f>IF(B113="","",IF(J113&lt;&gt;"None",J113,IF(Q113&gt;0,"Overtime",IF(G113&gt;E113,"Late",IF(H113&lt;F113,"Left Early","On Time")))))</x:f>
        <x:v>On Time</x:v>
      </x:c>
      <x:c r="T113" s="36" t="str"/>
    </x:row>
    <x:row r="114">
      <x:c r="A114" s="37" t="n">
        <x:v>46267</x:v>
      </x:c>
      <x:c r="B114" s="36" t="str">
        <x:v>EMP-005</x:v>
      </x:c>
      <x:c r="C114" s="54" t="str">
        <x:f>IFERROR(VLOOKUP(B114,Employees!$A$4:$K$9,2,FALSE),"")</x:f>
        <x:v>Sophia Nguyen</x:v>
      </x:c>
      <x:c r="D114" s="54" t="str">
        <x:f>TEXT(A114,"dddd")</x:f>
        <x:v>Wednesday</x:v>
      </x:c>
      <x:c r="E114" s="56" t="n">
        <x:f>IFERROR(VLOOKUP(D114,'Work Schedule'!$A$4:$F$10,2,FALSE),"")</x:f>
        <x:v>0.3333333333333333</x:v>
      </x:c>
      <x:c r="F114" s="56" t="n">
        <x:f>IFERROR(VLOOKUP(D114,'Work Schedule'!$A$4:$F$10,3,FALSE),"")</x:f>
        <x:v>0.7083333333333334</x:v>
      </x:c>
      <x:c r="G114" s="50" t="n">
        <x:v>0.3333333333333333</x:v>
      </x:c>
      <x:c r="H114" s="50" t="n">
        <x:v>0.7097222222222223</x:v>
      </x:c>
      <x:c r="I114" s="52" t="n">
        <x:v>1</x:v>
      </x:c>
      <x:c r="J114" s="36" t="str">
        <x:v>None</x:v>
      </x:c>
      <x:c r="K114" s="52" t="n">
        <x:v>0</x:v>
      </x:c>
      <x:c r="L114" s="58" t="n">
        <x:f>IFERROR(VLOOKUP(D114,'Work Schedule'!$A$4:$F$10,5,FALSE),0)</x:f>
        <x:v>8</x:v>
      </x:c>
      <x:c r="M114" s="46" t="n">
        <x:f>IF(OR(G114="",H114=""),0,ROUND(MAX(0,(H114-G114)*24-I114),2))</x:f>
        <x:v>8.03</x:v>
      </x:c>
      <x:c r="N114" s="60" t="n">
        <x:f>A114-WEEKDAY(A114,2)+1</x:f>
        <x:v>46265</x:v>
      </x:c>
      <x:c r="O114" s="58" t="n">
        <x:f>ROUND(SUMIFS($M$4:$M$400,$B$4:$B$400,B114,$N$4:$N$400,N114,$A$4:$A$400,"&lt;="&amp;A114),2)</x:f>
        <x:v>24.11</x:v>
      </x:c>
      <x:c r="P114" s="46" t="n">
        <x:f>ROUND(MAX(0,M114-Q114),2)</x:f>
        <x:v>8.03</x:v>
      </x:c>
      <x:c r="Q114" s="46" t="n">
        <x:f>ROUND(MAX(0,O114-Settings!$B$13)-MAX(0,O114-M114-Settings!$B$13),2)</x:f>
        <x:v>0</x:v>
      </x:c>
      <x:c r="R114" s="46" t="n">
        <x:f>ROUND(M114+K114-L114,2)</x:f>
        <x:v>0.03</x:v>
      </x:c>
      <x:c r="S114" t="str">
        <x:f>IF(B114="","",IF(J114&lt;&gt;"None",J114,IF(Q114&gt;0,"Overtime",IF(G114&gt;E114,"Late",IF(H114&lt;F114,"Left Early","On Time")))))</x:f>
        <x:v>On Time</x:v>
      </x:c>
      <x:c r="T114" s="36" t="str"/>
    </x:row>
    <x:row r="115">
      <x:c r="A115" s="37" t="n">
        <x:v>46268</x:v>
      </x:c>
      <x:c r="B115" s="36" t="str">
        <x:v>EMP-005</x:v>
      </x:c>
      <x:c r="C115" s="54" t="str">
        <x:f>IFERROR(VLOOKUP(B115,Employees!$A$4:$K$9,2,FALSE),"")</x:f>
        <x:v>Sophia Nguyen</x:v>
      </x:c>
      <x:c r="D115" s="54" t="str">
        <x:f>TEXT(A115,"dddd")</x:f>
        <x:v>Thursday</x:v>
      </x:c>
      <x:c r="E115" s="56" t="n">
        <x:f>IFERROR(VLOOKUP(D115,'Work Schedule'!$A$4:$F$10,2,FALSE),"")</x:f>
        <x:v>0.3333333333333333</x:v>
      </x:c>
      <x:c r="F115" s="56" t="n">
        <x:f>IFERROR(VLOOKUP(D115,'Work Schedule'!$A$4:$F$10,3,FALSE),"")</x:f>
        <x:v>0.7083333333333334</x:v>
      </x:c>
      <x:c r="G115" s="50" t="n">
        <x:v>0.3347222222222222</x:v>
      </x:c>
      <x:c r="H115" s="50" t="n">
        <x:v>0.7097222222222223</x:v>
      </x:c>
      <x:c r="I115" s="52" t="n">
        <x:v>1</x:v>
      </x:c>
      <x:c r="J115" s="36" t="str">
        <x:v>None</x:v>
      </x:c>
      <x:c r="K115" s="52" t="n">
        <x:v>0</x:v>
      </x:c>
      <x:c r="L115" s="58" t="n">
        <x:f>IFERROR(VLOOKUP(D115,'Work Schedule'!$A$4:$F$10,5,FALSE),0)</x:f>
        <x:v>8</x:v>
      </x:c>
      <x:c r="M115" s="46" t="n">
        <x:f>IF(OR(G115="",H115=""),0,ROUND(MAX(0,(H115-G115)*24-I115),2))</x:f>
        <x:v>8</x:v>
      </x:c>
      <x:c r="N115" s="60" t="n">
        <x:f>A115-WEEKDAY(A115,2)+1</x:f>
        <x:v>46265</x:v>
      </x:c>
      <x:c r="O115" s="58" t="n">
        <x:f>ROUND(SUMIFS($M$4:$M$400,$B$4:$B$400,B115,$N$4:$N$400,N115,$A$4:$A$400,"&lt;="&amp;A115),2)</x:f>
        <x:v>32.11</x:v>
      </x:c>
      <x:c r="P115" s="46" t="n">
        <x:f>ROUND(MAX(0,M115-Q115),2)</x:f>
        <x:v>8</x:v>
      </x:c>
      <x:c r="Q115" s="46" t="n">
        <x:f>ROUND(MAX(0,O115-Settings!$B$13)-MAX(0,O115-M115-Settings!$B$13),2)</x:f>
        <x:v>0</x:v>
      </x:c>
      <x:c r="R115" s="46" t="n">
        <x:f>ROUND(M115+K115-L115,2)</x:f>
        <x:v>0</x:v>
      </x:c>
      <x:c r="S115" t="str">
        <x:f>IF(B115="","",IF(J115&lt;&gt;"None",J115,IF(Q115&gt;0,"Overtime",IF(G115&gt;E115,"Late",IF(H115&lt;F115,"Left Early","On Time")))))</x:f>
        <x:v>Late</x:v>
      </x:c>
      <x:c r="T115" s="36" t="str"/>
    </x:row>
    <x:row r="116">
      <x:c r="A116" s="37" t="n">
        <x:v>46269</x:v>
      </x:c>
      <x:c r="B116" s="36" t="str">
        <x:v>EMP-005</x:v>
      </x:c>
      <x:c r="C116" s="54" t="str">
        <x:f>IFERROR(VLOOKUP(B116,Employees!$A$4:$K$9,2,FALSE),"")</x:f>
        <x:v>Sophia Nguyen</x:v>
      </x:c>
      <x:c r="D116" s="54" t="str">
        <x:f>TEXT(A116,"dddd")</x:f>
        <x:v>Friday</x:v>
      </x:c>
      <x:c r="E116" s="56" t="n">
        <x:f>IFERROR(VLOOKUP(D116,'Work Schedule'!$A$4:$F$10,2,FALSE),"")</x:f>
        <x:v>0.3333333333333333</x:v>
      </x:c>
      <x:c r="F116" s="56" t="n">
        <x:f>IFERROR(VLOOKUP(D116,'Work Schedule'!$A$4:$F$10,3,FALSE),"")</x:f>
        <x:v>0.7083333333333334</x:v>
      </x:c>
      <x:c r="G116" s="50" t="n">
        <x:v>0.33541666666666664</x:v>
      </x:c>
      <x:c r="H116" s="50" t="n">
        <x:v>0.7083333333333334</x:v>
      </x:c>
      <x:c r="I116" s="52" t="n">
        <x:v>1</x:v>
      </x:c>
      <x:c r="J116" s="36" t="str">
        <x:v>None</x:v>
      </x:c>
      <x:c r="K116" s="52" t="n">
        <x:v>0</x:v>
      </x:c>
      <x:c r="L116" s="58" t="n">
        <x:f>IFERROR(VLOOKUP(D116,'Work Schedule'!$A$4:$F$10,5,FALSE),0)</x:f>
        <x:v>8</x:v>
      </x:c>
      <x:c r="M116" s="46" t="n">
        <x:f>IF(OR(G116="",H116=""),0,ROUND(MAX(0,(H116-G116)*24-I116),2))</x:f>
        <x:v>7.95</x:v>
      </x:c>
      <x:c r="N116" s="60" t="n">
        <x:f>A116-WEEKDAY(A116,2)+1</x:f>
        <x:v>46265</x:v>
      </x:c>
      <x:c r="O116" s="58" t="n">
        <x:f>ROUND(SUMIFS($M$4:$M$400,$B$4:$B$400,B116,$N$4:$N$400,N116,$A$4:$A$400,"&lt;="&amp;A116),2)</x:f>
        <x:v>40.06</x:v>
      </x:c>
      <x:c r="P116" s="46" t="n">
        <x:f>ROUND(MAX(0,M116-Q116),2)</x:f>
        <x:v>7.95</x:v>
      </x:c>
      <x:c r="Q116" s="46" t="n">
        <x:f>ROUND(MAX(0,O116-Settings!$B$13)-MAX(0,O116-M116-Settings!$B$13),2)</x:f>
        <x:v>0</x:v>
      </x:c>
      <x:c r="R116" s="46" t="n">
        <x:f>ROUND(M116+K116-L116,2)</x:f>
        <x:v>-0.05</x:v>
      </x:c>
      <x:c r="S116" t="str">
        <x:f>IF(B116="","",IF(J116&lt;&gt;"None",J116,IF(Q116&gt;0,"Overtime",IF(G116&gt;E116,"Late",IF(H116&lt;F116,"Left Early","On Time")))))</x:f>
        <x:v>Late</x:v>
      </x:c>
      <x:c r="T116" s="36" t="str">
        <x:v>Arrived 3 minutes late.</x:v>
      </x:c>
    </x:row>
    <x:row r="117">
      <x:c r="A117" s="37" t="n">
        <x:v>46270</x:v>
      </x:c>
      <x:c r="B117" s="36" t="str">
        <x:v>EMP-005</x:v>
      </x:c>
      <x:c r="C117" s="54" t="str">
        <x:f>IFERROR(VLOOKUP(B117,Employees!$A$4:$K$9,2,FALSE),"")</x:f>
        <x:v>Sophia Nguyen</x:v>
      </x:c>
      <x:c r="D117" s="54" t="str">
        <x:f>TEXT(A117,"dddd")</x:f>
        <x:v>Saturday</x:v>
      </x:c>
      <x:c r="E117" s="56" t="n">
        <x:f>IFERROR(VLOOKUP(D117,'Work Schedule'!$A$4:$F$10,2,FALSE),"")</x:f>
        <x:v>0.3333333333333333</x:v>
      </x:c>
      <x:c r="F117" s="56" t="n">
        <x:f>IFERROR(VLOOKUP(D117,'Work Schedule'!$A$4:$F$10,3,FALSE),"")</x:f>
        <x:v>0.5833333333333334</x:v>
      </x:c>
      <x:c r="G117" s="50" t="n">
        <x:v>0.33402777777777776</x:v>
      </x:c>
      <x:c r="H117" s="50" t="n">
        <x:v>0.5854166666666667</x:v>
      </x:c>
      <x:c r="I117" s="52" t="n">
        <x:v>1</x:v>
      </x:c>
      <x:c r="J117" s="36" t="str">
        <x:v>None</x:v>
      </x:c>
      <x:c r="K117" s="52" t="n">
        <x:v>0</x:v>
      </x:c>
      <x:c r="L117" s="58" t="n">
        <x:f>IFERROR(VLOOKUP(D117,'Work Schedule'!$A$4:$F$10,5,FALSE),0)</x:f>
        <x:v>5</x:v>
      </x:c>
      <x:c r="M117" s="46" t="n">
        <x:f>IF(OR(G117="",H117=""),0,ROUND(MAX(0,(H117-G117)*24-I117),2))</x:f>
        <x:v>5.03</x:v>
      </x:c>
      <x:c r="N117" s="60" t="n">
        <x:f>A117-WEEKDAY(A117,2)+1</x:f>
        <x:v>46265</x:v>
      </x:c>
      <x:c r="O117" s="58" t="n">
        <x:f>ROUND(SUMIFS($M$4:$M$400,$B$4:$B$400,B117,$N$4:$N$400,N117,$A$4:$A$400,"&lt;="&amp;A117),2)</x:f>
        <x:v>45.09</x:v>
      </x:c>
      <x:c r="P117" s="46" t="n">
        <x:f>ROUND(MAX(0,M117-Q117),2)</x:f>
        <x:v>3.94</x:v>
      </x:c>
      <x:c r="Q117" s="46" t="n">
        <x:f>ROUND(MAX(0,O117-Settings!$B$13)-MAX(0,O117-M117-Settings!$B$13),2)</x:f>
        <x:v>1.09</x:v>
      </x:c>
      <x:c r="R117" s="46" t="n">
        <x:f>ROUND(M117+K117-L117,2)</x:f>
        <x:v>0.03</x:v>
      </x:c>
      <x:c r="S117" t="str">
        <x:f>IF(B117="","",IF(J117&lt;&gt;"None",J117,IF(Q117&gt;0,"Overtime",IF(G117&gt;E117,"Late",IF(H117&lt;F117,"Left Early","On Time")))))</x:f>
        <x:v>Overtime</x:v>
      </x:c>
      <x:c r="T117" s="36" t="str"/>
    </x:row>
    <x:row r="118">
      <x:c r="A118" s="37" t="n">
        <x:v>46272</x:v>
      </x:c>
      <x:c r="B118" s="36" t="str">
        <x:v>EMP-005</x:v>
      </x:c>
      <x:c r="C118" s="54" t="str">
        <x:f>IFERROR(VLOOKUP(B118,Employees!$A$4:$K$9,2,FALSE),"")</x:f>
        <x:v>Sophia Nguyen</x:v>
      </x:c>
      <x:c r="D118" s="54" t="str">
        <x:f>TEXT(A118,"dddd")</x:f>
        <x:v>Monday</x:v>
      </x:c>
      <x:c r="E118" s="56" t="n">
        <x:f>IFERROR(VLOOKUP(D118,'Work Schedule'!$A$4:$F$10,2,FALSE),"")</x:f>
        <x:v>0.3333333333333333</x:v>
      </x:c>
      <x:c r="F118" s="56" t="n">
        <x:f>IFERROR(VLOOKUP(D118,'Work Schedule'!$A$4:$F$10,3,FALSE),"")</x:f>
        <x:v>0.7083333333333334</x:v>
      </x:c>
      <x:c r="G118" s="50"/>
      <x:c r="H118" s="50"/>
      <x:c r="I118" s="52" t="n">
        <x:v>0</x:v>
      </x:c>
      <x:c r="J118" s="36" t="str">
        <x:v>Public Holiday</x:v>
      </x:c>
      <x:c r="K118" s="52" t="n">
        <x:v>8</x:v>
      </x:c>
      <x:c r="L118" s="58" t="n">
        <x:f>IFERROR(VLOOKUP(D118,'Work Schedule'!$A$4:$F$10,5,FALSE),0)</x:f>
        <x:v>8</x:v>
      </x:c>
      <x:c r="M118" s="46" t="n">
        <x:f>IF(OR(G118="",H118=""),0,ROUND(MAX(0,(H118-G118)*24-I118),2))</x:f>
        <x:v>0</x:v>
      </x:c>
      <x:c r="N118" s="60" t="n">
        <x:f>A118-WEEKDAY(A118,2)+1</x:f>
        <x:v>46272</x:v>
      </x:c>
      <x:c r="O118" s="58" t="n">
        <x:f>ROUND(SUMIFS($M$4:$M$400,$B$4:$B$400,B118,$N$4:$N$400,N118,$A$4:$A$400,"&lt;="&amp;A118),2)</x:f>
        <x:v>0</x:v>
      </x:c>
      <x:c r="P118" s="46" t="n">
        <x:f>ROUND(MAX(0,M118-Q118),2)</x:f>
        <x:v>0</x:v>
      </x:c>
      <x:c r="Q118" s="46" t="n">
        <x:f>ROUND(MAX(0,O118-Settings!$B$13)-MAX(0,O118-M118-Settings!$B$13),2)</x:f>
        <x:v>0</x:v>
      </x:c>
      <x:c r="R118" s="46" t="n">
        <x:f>ROUND(M118+K118-L118,2)</x:f>
        <x:v>0</x:v>
      </x:c>
      <x:c r="S118" t="str">
        <x:f>IF(B118="","",IF(J118&lt;&gt;"None",J118,IF(Q118&gt;0,"Overtime",IF(G118&gt;E118,"Late",IF(H118&lt;F118,"Left Early","On Time")))))</x:f>
        <x:v>Public Holiday</x:v>
      </x:c>
      <x:c r="T118" s="36" t="str">
        <x:v>Labour Day</x:v>
      </x:c>
    </x:row>
    <x:row r="119">
      <x:c r="A119" s="37" t="n">
        <x:v>46273</x:v>
      </x:c>
      <x:c r="B119" s="36" t="str">
        <x:v>EMP-005</x:v>
      </x:c>
      <x:c r="C119" s="54" t="str">
        <x:f>IFERROR(VLOOKUP(B119,Employees!$A$4:$K$9,2,FALSE),"")</x:f>
        <x:v>Sophia Nguyen</x:v>
      </x:c>
      <x:c r="D119" s="54" t="str">
        <x:f>TEXT(A119,"dddd")</x:f>
        <x:v>Tuesday</x:v>
      </x:c>
      <x:c r="E119" s="56" t="n">
        <x:f>IFERROR(VLOOKUP(D119,'Work Schedule'!$A$4:$F$10,2,FALSE),"")</x:f>
        <x:v>0.3333333333333333</x:v>
      </x:c>
      <x:c r="F119" s="56" t="n">
        <x:f>IFERROR(VLOOKUP(D119,'Work Schedule'!$A$4:$F$10,3,FALSE),"")</x:f>
        <x:v>0.7083333333333334</x:v>
      </x:c>
      <x:c r="G119" s="50" t="n">
        <x:v>0.33402777777777776</x:v>
      </x:c>
      <x:c r="H119" s="50" t="n">
        <x:v>0.7125</x:v>
      </x:c>
      <x:c r="I119" s="52" t="n">
        <x:v>1</x:v>
      </x:c>
      <x:c r="J119" s="36" t="str">
        <x:v>None</x:v>
      </x:c>
      <x:c r="K119" s="52" t="n">
        <x:v>0</x:v>
      </x:c>
      <x:c r="L119" s="58" t="n">
        <x:f>IFERROR(VLOOKUP(D119,'Work Schedule'!$A$4:$F$10,5,FALSE),0)</x:f>
        <x:v>8</x:v>
      </x:c>
      <x:c r="M119" s="46" t="n">
        <x:f>IF(OR(G119="",H119=""),0,ROUND(MAX(0,(H119-G119)*24-I119),2))</x:f>
        <x:v>8.08</x:v>
      </x:c>
      <x:c r="N119" s="60" t="n">
        <x:f>A119-WEEKDAY(A119,2)+1</x:f>
        <x:v>46272</x:v>
      </x:c>
      <x:c r="O119" s="58" t="n">
        <x:f>ROUND(SUMIFS($M$4:$M$400,$B$4:$B$400,B119,$N$4:$N$400,N119,$A$4:$A$400,"&lt;="&amp;A119),2)</x:f>
        <x:v>8.08</x:v>
      </x:c>
      <x:c r="P119" s="46" t="n">
        <x:f>ROUND(MAX(0,M119-Q119),2)</x:f>
        <x:v>8.08</x:v>
      </x:c>
      <x:c r="Q119" s="46" t="n">
        <x:f>ROUND(MAX(0,O119-Settings!$B$13)-MAX(0,O119-M119-Settings!$B$13),2)</x:f>
        <x:v>0</x:v>
      </x:c>
      <x:c r="R119" s="46" t="n">
        <x:f>ROUND(M119+K119-L119,2)</x:f>
        <x:v>0.08</x:v>
      </x:c>
      <x:c r="S119" t="str">
        <x:f>IF(B119="","",IF(J119&lt;&gt;"None",J119,IF(Q119&gt;0,"Overtime",IF(G119&gt;E119,"Late",IF(H119&lt;F119,"Left Early","On Time")))))</x:f>
        <x:v>Late</x:v>
      </x:c>
      <x:c r="T119" s="36" t="str"/>
    </x:row>
    <x:row r="120">
      <x:c r="A120" s="37" t="n">
        <x:v>46274</x:v>
      </x:c>
      <x:c r="B120" s="36" t="str">
        <x:v>EMP-005</x:v>
      </x:c>
      <x:c r="C120" s="54" t="str">
        <x:f>IFERROR(VLOOKUP(B120,Employees!$A$4:$K$9,2,FALSE),"")</x:f>
        <x:v>Sophia Nguyen</x:v>
      </x:c>
      <x:c r="D120" s="54" t="str">
        <x:f>TEXT(A120,"dddd")</x:f>
        <x:v>Wednesday</x:v>
      </x:c>
      <x:c r="E120" s="56" t="n">
        <x:f>IFERROR(VLOOKUP(D120,'Work Schedule'!$A$4:$F$10,2,FALSE),"")</x:f>
        <x:v>0.3333333333333333</x:v>
      </x:c>
      <x:c r="F120" s="56" t="n">
        <x:f>IFERROR(VLOOKUP(D120,'Work Schedule'!$A$4:$F$10,3,FALSE),"")</x:f>
        <x:v>0.7083333333333334</x:v>
      </x:c>
      <x:c r="G120" s="50" t="n">
        <x:v>0.33125</x:v>
      </x:c>
      <x:c r="H120" s="50" t="n">
        <x:v>0.7083333333333334</x:v>
      </x:c>
      <x:c r="I120" s="52" t="n">
        <x:v>1</x:v>
      </x:c>
      <x:c r="J120" s="36" t="str">
        <x:v>None</x:v>
      </x:c>
      <x:c r="K120" s="52" t="n">
        <x:v>0</x:v>
      </x:c>
      <x:c r="L120" s="58" t="n">
        <x:f>IFERROR(VLOOKUP(D120,'Work Schedule'!$A$4:$F$10,5,FALSE),0)</x:f>
        <x:v>8</x:v>
      </x:c>
      <x:c r="M120" s="46" t="n">
        <x:f>IF(OR(G120="",H120=""),0,ROUND(MAX(0,(H120-G120)*24-I120),2))</x:f>
        <x:v>8.05</x:v>
      </x:c>
      <x:c r="N120" s="60" t="n">
        <x:f>A120-WEEKDAY(A120,2)+1</x:f>
        <x:v>46272</x:v>
      </x:c>
      <x:c r="O120" s="58" t="n">
        <x:f>ROUND(SUMIFS($M$4:$M$400,$B$4:$B$400,B120,$N$4:$N$400,N120,$A$4:$A$400,"&lt;="&amp;A120),2)</x:f>
        <x:v>16.13</x:v>
      </x:c>
      <x:c r="P120" s="46" t="n">
        <x:f>ROUND(MAX(0,M120-Q120),2)</x:f>
        <x:v>8.05</x:v>
      </x:c>
      <x:c r="Q120" s="46" t="n">
        <x:f>ROUND(MAX(0,O120-Settings!$B$13)-MAX(0,O120-M120-Settings!$B$13),2)</x:f>
        <x:v>0</x:v>
      </x:c>
      <x:c r="R120" s="46" t="n">
        <x:f>ROUND(M120+K120-L120,2)</x:f>
        <x:v>0.05</x:v>
      </x:c>
      <x:c r="S120" t="str">
        <x:f>IF(B120="","",IF(J120&lt;&gt;"None",J120,IF(Q120&gt;0,"Overtime",IF(G120&gt;E120,"Late",IF(H120&lt;F120,"Left Early","On Time")))))</x:f>
        <x:v>On Time</x:v>
      </x:c>
      <x:c r="T120" s="36" t="str"/>
    </x:row>
    <x:row r="121">
      <x:c r="A121" s="37" t="n">
        <x:v>46275</x:v>
      </x:c>
      <x:c r="B121" s="36" t="str">
        <x:v>EMP-005</x:v>
      </x:c>
      <x:c r="C121" s="54" t="str">
        <x:f>IFERROR(VLOOKUP(B121,Employees!$A$4:$K$9,2,FALSE),"")</x:f>
        <x:v>Sophia Nguyen</x:v>
      </x:c>
      <x:c r="D121" s="54" t="str">
        <x:f>TEXT(A121,"dddd")</x:f>
        <x:v>Thursday</x:v>
      </x:c>
      <x:c r="E121" s="56" t="n">
        <x:f>IFERROR(VLOOKUP(D121,'Work Schedule'!$A$4:$F$10,2,FALSE),"")</x:f>
        <x:v>0.3333333333333333</x:v>
      </x:c>
      <x:c r="F121" s="56" t="n">
        <x:f>IFERROR(VLOOKUP(D121,'Work Schedule'!$A$4:$F$10,3,FALSE),"")</x:f>
        <x:v>0.7083333333333334</x:v>
      </x:c>
      <x:c r="G121" s="50" t="n">
        <x:v>0.3347222222222222</x:v>
      </x:c>
      <x:c r="H121" s="50" t="n">
        <x:v>0.7097222222222223</x:v>
      </x:c>
      <x:c r="I121" s="52" t="n">
        <x:v>1</x:v>
      </x:c>
      <x:c r="J121" s="36" t="str">
        <x:v>None</x:v>
      </x:c>
      <x:c r="K121" s="52" t="n">
        <x:v>0</x:v>
      </x:c>
      <x:c r="L121" s="58" t="n">
        <x:f>IFERROR(VLOOKUP(D121,'Work Schedule'!$A$4:$F$10,5,FALSE),0)</x:f>
        <x:v>8</x:v>
      </x:c>
      <x:c r="M121" s="46" t="n">
        <x:f>IF(OR(G121="",H121=""),0,ROUND(MAX(0,(H121-G121)*24-I121),2))</x:f>
        <x:v>8</x:v>
      </x:c>
      <x:c r="N121" s="60" t="n">
        <x:f>A121-WEEKDAY(A121,2)+1</x:f>
        <x:v>46272</x:v>
      </x:c>
      <x:c r="O121" s="58" t="n">
        <x:f>ROUND(SUMIFS($M$4:$M$400,$B$4:$B$400,B121,$N$4:$N$400,N121,$A$4:$A$400,"&lt;="&amp;A121),2)</x:f>
        <x:v>24.13</x:v>
      </x:c>
      <x:c r="P121" s="46" t="n">
        <x:f>ROUND(MAX(0,M121-Q121),2)</x:f>
        <x:v>8</x:v>
      </x:c>
      <x:c r="Q121" s="46" t="n">
        <x:f>ROUND(MAX(0,O121-Settings!$B$13)-MAX(0,O121-M121-Settings!$B$13),2)</x:f>
        <x:v>0</x:v>
      </x:c>
      <x:c r="R121" s="46" t="n">
        <x:f>ROUND(M121+K121-L121,2)</x:f>
        <x:v>0</x:v>
      </x:c>
      <x:c r="S121" t="str">
        <x:f>IF(B121="","",IF(J121&lt;&gt;"None",J121,IF(Q121&gt;0,"Overtime",IF(G121&gt;E121,"Late",IF(H121&lt;F121,"Left Early","On Time")))))</x:f>
        <x:v>Late</x:v>
      </x:c>
      <x:c r="T121" s="36" t="str"/>
    </x:row>
    <x:row r="122">
      <x:c r="A122" s="37" t="n">
        <x:v>46276</x:v>
      </x:c>
      <x:c r="B122" s="36" t="str">
        <x:v>EMP-005</x:v>
      </x:c>
      <x:c r="C122" s="54" t="str">
        <x:f>IFERROR(VLOOKUP(B122,Employees!$A$4:$K$9,2,FALSE),"")</x:f>
        <x:v>Sophia Nguyen</x:v>
      </x:c>
      <x:c r="D122" s="54" t="str">
        <x:f>TEXT(A122,"dddd")</x:f>
        <x:v>Friday</x:v>
      </x:c>
      <x:c r="E122" s="56" t="n">
        <x:f>IFERROR(VLOOKUP(D122,'Work Schedule'!$A$4:$F$10,2,FALSE),"")</x:f>
        <x:v>0.3333333333333333</x:v>
      </x:c>
      <x:c r="F122" s="56" t="n">
        <x:f>IFERROR(VLOOKUP(D122,'Work Schedule'!$A$4:$F$10,3,FALSE),"")</x:f>
        <x:v>0.7083333333333334</x:v>
      </x:c>
      <x:c r="G122" s="50" t="n">
        <x:v>0.3326388888888889</x:v>
      </x:c>
      <x:c r="H122" s="50" t="n">
        <x:v>0.7083333333333334</x:v>
      </x:c>
      <x:c r="I122" s="52" t="n">
        <x:v>1</x:v>
      </x:c>
      <x:c r="J122" s="36" t="str">
        <x:v>None</x:v>
      </x:c>
      <x:c r="K122" s="52" t="n">
        <x:v>0</x:v>
      </x:c>
      <x:c r="L122" s="58" t="n">
        <x:f>IFERROR(VLOOKUP(D122,'Work Schedule'!$A$4:$F$10,5,FALSE),0)</x:f>
        <x:v>8</x:v>
      </x:c>
      <x:c r="M122" s="46" t="n">
        <x:f>IF(OR(G122="",H122=""),0,ROUND(MAX(0,(H122-G122)*24-I122),2))</x:f>
        <x:v>8.02</x:v>
      </x:c>
      <x:c r="N122" s="60" t="n">
        <x:f>A122-WEEKDAY(A122,2)+1</x:f>
        <x:v>46272</x:v>
      </x:c>
      <x:c r="O122" s="58" t="n">
        <x:f>ROUND(SUMIFS($M$4:$M$400,$B$4:$B$400,B122,$N$4:$N$400,N122,$A$4:$A$400,"&lt;="&amp;A122),2)</x:f>
        <x:v>32.15</x:v>
      </x:c>
      <x:c r="P122" s="46" t="n">
        <x:f>ROUND(MAX(0,M122-Q122),2)</x:f>
        <x:v>8.02</x:v>
      </x:c>
      <x:c r="Q122" s="46" t="n">
        <x:f>ROUND(MAX(0,O122-Settings!$B$13)-MAX(0,O122-M122-Settings!$B$13),2)</x:f>
        <x:v>0</x:v>
      </x:c>
      <x:c r="R122" s="46" t="n">
        <x:f>ROUND(M122+K122-L122,2)</x:f>
        <x:v>0.02</x:v>
      </x:c>
      <x:c r="S122" t="str">
        <x:f>IF(B122="","",IF(J122&lt;&gt;"None",J122,IF(Q122&gt;0,"Overtime",IF(G122&gt;E122,"Late",IF(H122&lt;F122,"Left Early","On Time")))))</x:f>
        <x:v>On Time</x:v>
      </x:c>
      <x:c r="T122" s="36" t="str"/>
    </x:row>
    <x:row r="123">
      <x:c r="A123" s="37" t="n">
        <x:v>46277</x:v>
      </x:c>
      <x:c r="B123" s="36" t="str">
        <x:v>EMP-005</x:v>
      </x:c>
      <x:c r="C123" s="54" t="str">
        <x:f>IFERROR(VLOOKUP(B123,Employees!$A$4:$K$9,2,FALSE),"")</x:f>
        <x:v>Sophia Nguyen</x:v>
      </x:c>
      <x:c r="D123" s="54" t="str">
        <x:f>TEXT(A123,"dddd")</x:f>
        <x:v>Saturday</x:v>
      </x:c>
      <x:c r="E123" s="56" t="n">
        <x:f>IFERROR(VLOOKUP(D123,'Work Schedule'!$A$4:$F$10,2,FALSE),"")</x:f>
        <x:v>0.3333333333333333</x:v>
      </x:c>
      <x:c r="F123" s="56" t="n">
        <x:f>IFERROR(VLOOKUP(D123,'Work Schedule'!$A$4:$F$10,3,FALSE),"")</x:f>
        <x:v>0.5833333333333334</x:v>
      </x:c>
      <x:c r="G123" s="50" t="n">
        <x:v>0.33194444444444443</x:v>
      </x:c>
      <x:c r="H123" s="50" t="n">
        <x:v>0.5826388888888889</x:v>
      </x:c>
      <x:c r="I123" s="52" t="n">
        <x:v>1</x:v>
      </x:c>
      <x:c r="J123" s="36" t="str">
        <x:v>None</x:v>
      </x:c>
      <x:c r="K123" s="52" t="n">
        <x:v>0</x:v>
      </x:c>
      <x:c r="L123" s="58" t="n">
        <x:f>IFERROR(VLOOKUP(D123,'Work Schedule'!$A$4:$F$10,5,FALSE),0)</x:f>
        <x:v>5</x:v>
      </x:c>
      <x:c r="M123" s="46" t="n">
        <x:f>IF(OR(G123="",H123=""),0,ROUND(MAX(0,(H123-G123)*24-I123),2))</x:f>
        <x:v>5.02</x:v>
      </x:c>
      <x:c r="N123" s="60" t="n">
        <x:f>A123-WEEKDAY(A123,2)+1</x:f>
        <x:v>46272</x:v>
      </x:c>
      <x:c r="O123" s="58" t="n">
        <x:f>ROUND(SUMIFS($M$4:$M$400,$B$4:$B$400,B123,$N$4:$N$400,N123,$A$4:$A$400,"&lt;="&amp;A123),2)</x:f>
        <x:v>37.17</x:v>
      </x:c>
      <x:c r="P123" s="46" t="n">
        <x:f>ROUND(MAX(0,M123-Q123),2)</x:f>
        <x:v>5.02</x:v>
      </x:c>
      <x:c r="Q123" s="46" t="n">
        <x:f>ROUND(MAX(0,O123-Settings!$B$13)-MAX(0,O123-M123-Settings!$B$13),2)</x:f>
        <x:v>0</x:v>
      </x:c>
      <x:c r="R123" s="46" t="n">
        <x:f>ROUND(M123+K123-L123,2)</x:f>
        <x:v>0.02</x:v>
      </x:c>
      <x:c r="S123" t="str">
        <x:f>IF(B123="","",IF(J123&lt;&gt;"None",J123,IF(Q123&gt;0,"Overtime",IF(G123&gt;E123,"Late",IF(H123&lt;F123,"Left Early","On Time")))))</x:f>
        <x:v>Left Early</x:v>
      </x:c>
      <x:c r="T123" s="36" t="str"/>
    </x:row>
    <x:row r="124">
      <x:c r="A124" s="37" t="n">
        <x:v>46279</x:v>
      </x:c>
      <x:c r="B124" s="36" t="str">
        <x:v>EMP-005</x:v>
      </x:c>
      <x:c r="C124" s="54" t="str">
        <x:f>IFERROR(VLOOKUP(B124,Employees!$A$4:$K$9,2,FALSE),"")</x:f>
        <x:v>Sophia Nguyen</x:v>
      </x:c>
      <x:c r="D124" s="54" t="str">
        <x:f>TEXT(A124,"dddd")</x:f>
        <x:v>Monday</x:v>
      </x:c>
      <x:c r="E124" s="56" t="n">
        <x:f>IFERROR(VLOOKUP(D124,'Work Schedule'!$A$4:$F$10,2,FALSE),"")</x:f>
        <x:v>0.3333333333333333</x:v>
      </x:c>
      <x:c r="F124" s="56" t="n">
        <x:f>IFERROR(VLOOKUP(D124,'Work Schedule'!$A$4:$F$10,3,FALSE),"")</x:f>
        <x:v>0.7083333333333334</x:v>
      </x:c>
      <x:c r="G124" s="50" t="n">
        <x:v>0.33055555555555555</x:v>
      </x:c>
      <x:c r="H124" s="50" t="n">
        <x:v>0.7076388888888889</x:v>
      </x:c>
      <x:c r="I124" s="52" t="n">
        <x:v>1</x:v>
      </x:c>
      <x:c r="J124" s="36" t="str">
        <x:v>None</x:v>
      </x:c>
      <x:c r="K124" s="52" t="n">
        <x:v>0</x:v>
      </x:c>
      <x:c r="L124" s="58" t="n">
        <x:f>IFERROR(VLOOKUP(D124,'Work Schedule'!$A$4:$F$10,5,FALSE),0)</x:f>
        <x:v>8</x:v>
      </x:c>
      <x:c r="M124" s="46" t="n">
        <x:f>IF(OR(G124="",H124=""),0,ROUND(MAX(0,(H124-G124)*24-I124),2))</x:f>
        <x:v>8.05</x:v>
      </x:c>
      <x:c r="N124" s="60" t="n">
        <x:f>A124-WEEKDAY(A124,2)+1</x:f>
        <x:v>46279</x:v>
      </x:c>
      <x:c r="O124" s="58" t="n">
        <x:f>ROUND(SUMIFS($M$4:$M$400,$B$4:$B$400,B124,$N$4:$N$400,N124,$A$4:$A$400,"&lt;="&amp;A124),2)</x:f>
        <x:v>8.05</x:v>
      </x:c>
      <x:c r="P124" s="46" t="n">
        <x:f>ROUND(MAX(0,M124-Q124),2)</x:f>
        <x:v>8.05</x:v>
      </x:c>
      <x:c r="Q124" s="46" t="n">
        <x:f>ROUND(MAX(0,O124-Settings!$B$13)-MAX(0,O124-M124-Settings!$B$13),2)</x:f>
        <x:v>0</x:v>
      </x:c>
      <x:c r="R124" s="46" t="n">
        <x:f>ROUND(M124+K124-L124,2)</x:f>
        <x:v>0.05</x:v>
      </x:c>
      <x:c r="S124" t="str">
        <x:f>IF(B124="","",IF(J124&lt;&gt;"None",J124,IF(Q124&gt;0,"Overtime",IF(G124&gt;E124,"Late",IF(H124&lt;F124,"Left Early","On Time")))))</x:f>
        <x:v>Left Early</x:v>
      </x:c>
      <x:c r="T124" s="36" t="str"/>
    </x:row>
    <x:row r="125">
      <x:c r="A125" s="37" t="n">
        <x:v>46280</x:v>
      </x:c>
      <x:c r="B125" s="36" t="str">
        <x:v>EMP-005</x:v>
      </x:c>
      <x:c r="C125" s="54" t="str">
        <x:f>IFERROR(VLOOKUP(B125,Employees!$A$4:$K$9,2,FALSE),"")</x:f>
        <x:v>Sophia Nguyen</x:v>
      </x:c>
      <x:c r="D125" s="54" t="str">
        <x:f>TEXT(A125,"dddd")</x:f>
        <x:v>Tuesday</x:v>
      </x:c>
      <x:c r="E125" s="56" t="n">
        <x:f>IFERROR(VLOOKUP(D125,'Work Schedule'!$A$4:$F$10,2,FALSE),"")</x:f>
        <x:v>0.3333333333333333</x:v>
      </x:c>
      <x:c r="F125" s="56" t="n">
        <x:f>IFERROR(VLOOKUP(D125,'Work Schedule'!$A$4:$F$10,3,FALSE),"")</x:f>
        <x:v>0.7083333333333334</x:v>
      </x:c>
      <x:c r="G125" s="50" t="n">
        <x:v>0.3333333333333333</x:v>
      </x:c>
      <x:c r="H125" s="50" t="n">
        <x:v>0.7111111111111111</x:v>
      </x:c>
      <x:c r="I125" s="52" t="n">
        <x:v>1</x:v>
      </x:c>
      <x:c r="J125" s="36" t="str">
        <x:v>None</x:v>
      </x:c>
      <x:c r="K125" s="52" t="n">
        <x:v>0</x:v>
      </x:c>
      <x:c r="L125" s="58" t="n">
        <x:f>IFERROR(VLOOKUP(D125,'Work Schedule'!$A$4:$F$10,5,FALSE),0)</x:f>
        <x:v>8</x:v>
      </x:c>
      <x:c r="M125" s="46" t="n">
        <x:f>IF(OR(G125="",H125=""),0,ROUND(MAX(0,(H125-G125)*24-I125),2))</x:f>
        <x:v>8.07</x:v>
      </x:c>
      <x:c r="N125" s="60" t="n">
        <x:f>A125-WEEKDAY(A125,2)+1</x:f>
        <x:v>46279</x:v>
      </x:c>
      <x:c r="O125" s="58" t="n">
        <x:f>ROUND(SUMIFS($M$4:$M$400,$B$4:$B$400,B125,$N$4:$N$400,N125,$A$4:$A$400,"&lt;="&amp;A125),2)</x:f>
        <x:v>16.12</x:v>
      </x:c>
      <x:c r="P125" s="46" t="n">
        <x:f>ROUND(MAX(0,M125-Q125),2)</x:f>
        <x:v>8.07</x:v>
      </x:c>
      <x:c r="Q125" s="46" t="n">
        <x:f>ROUND(MAX(0,O125-Settings!$B$13)-MAX(0,O125-M125-Settings!$B$13),2)</x:f>
        <x:v>0</x:v>
      </x:c>
      <x:c r="R125" s="46" t="n">
        <x:f>ROUND(M125+K125-L125,2)</x:f>
        <x:v>0.07</x:v>
      </x:c>
      <x:c r="S125" t="str">
        <x:f>IF(B125="","",IF(J125&lt;&gt;"None",J125,IF(Q125&gt;0,"Overtime",IF(G125&gt;E125,"Late",IF(H125&lt;F125,"Left Early","On Time")))))</x:f>
        <x:v>On Time</x:v>
      </x:c>
      <x:c r="T125" s="36" t="str"/>
    </x:row>
    <x:row r="126">
      <x:c r="A126" s="37" t="n">
        <x:v>46281</x:v>
      </x:c>
      <x:c r="B126" s="36" t="str">
        <x:v>EMP-005</x:v>
      </x:c>
      <x:c r="C126" s="54" t="str">
        <x:f>IFERROR(VLOOKUP(B126,Employees!$A$4:$K$9,2,FALSE),"")</x:f>
        <x:v>Sophia Nguyen</x:v>
      </x:c>
      <x:c r="D126" s="54" t="str">
        <x:f>TEXT(A126,"dddd")</x:f>
        <x:v>Wednesday</x:v>
      </x:c>
      <x:c r="E126" s="56" t="n">
        <x:f>IFERROR(VLOOKUP(D126,'Work Schedule'!$A$4:$F$10,2,FALSE),"")</x:f>
        <x:v>0.3333333333333333</x:v>
      </x:c>
      <x:c r="F126" s="56" t="n">
        <x:f>IFERROR(VLOOKUP(D126,'Work Schedule'!$A$4:$F$10,3,FALSE),"")</x:f>
        <x:v>0.7083333333333334</x:v>
      </x:c>
      <x:c r="G126" s="50" t="n">
        <x:v>0.3347222222222222</x:v>
      </x:c>
      <x:c r="H126" s="50" t="n">
        <x:v>0.7090277777777778</x:v>
      </x:c>
      <x:c r="I126" s="52" t="n">
        <x:v>1</x:v>
      </x:c>
      <x:c r="J126" s="36" t="str">
        <x:v>None</x:v>
      </x:c>
      <x:c r="K126" s="52" t="n">
        <x:v>0</x:v>
      </x:c>
      <x:c r="L126" s="58" t="n">
        <x:f>IFERROR(VLOOKUP(D126,'Work Schedule'!$A$4:$F$10,5,FALSE),0)</x:f>
        <x:v>8</x:v>
      </x:c>
      <x:c r="M126" s="46" t="n">
        <x:f>IF(OR(G126="",H126=""),0,ROUND(MAX(0,(H126-G126)*24-I126),2))</x:f>
        <x:v>7.98</x:v>
      </x:c>
      <x:c r="N126" s="60" t="n">
        <x:f>A126-WEEKDAY(A126,2)+1</x:f>
        <x:v>46279</x:v>
      </x:c>
      <x:c r="O126" s="58" t="n">
        <x:f>ROUND(SUMIFS($M$4:$M$400,$B$4:$B$400,B126,$N$4:$N$400,N126,$A$4:$A$400,"&lt;="&amp;A126),2)</x:f>
        <x:v>24.1</x:v>
      </x:c>
      <x:c r="P126" s="46" t="n">
        <x:f>ROUND(MAX(0,M126-Q126),2)</x:f>
        <x:v>7.98</x:v>
      </x:c>
      <x:c r="Q126" s="46" t="n">
        <x:f>ROUND(MAX(0,O126-Settings!$B$13)-MAX(0,O126-M126-Settings!$B$13),2)</x:f>
        <x:v>0</x:v>
      </x:c>
      <x:c r="R126" s="46" t="n">
        <x:f>ROUND(M126+K126-L126,2)</x:f>
        <x:v>-0.02</x:v>
      </x:c>
      <x:c r="S126" t="str">
        <x:f>IF(B126="","",IF(J126&lt;&gt;"None",J126,IF(Q126&gt;0,"Overtime",IF(G126&gt;E126,"Late",IF(H126&lt;F126,"Left Early","On Time")))))</x:f>
        <x:v>Late</x:v>
      </x:c>
      <x:c r="T126" s="36" t="str"/>
    </x:row>
    <x:row r="127">
      <x:c r="A127" s="37" t="n">
        <x:v>46282</x:v>
      </x:c>
      <x:c r="B127" s="36" t="str">
        <x:v>EMP-005</x:v>
      </x:c>
      <x:c r="C127" s="54" t="str">
        <x:f>IFERROR(VLOOKUP(B127,Employees!$A$4:$K$9,2,FALSE),"")</x:f>
        <x:v>Sophia Nguyen</x:v>
      </x:c>
      <x:c r="D127" s="54" t="str">
        <x:f>TEXT(A127,"dddd")</x:f>
        <x:v>Thursday</x:v>
      </x:c>
      <x:c r="E127" s="56" t="n">
        <x:f>IFERROR(VLOOKUP(D127,'Work Schedule'!$A$4:$F$10,2,FALSE),"")</x:f>
        <x:v>0.3333333333333333</x:v>
      </x:c>
      <x:c r="F127" s="56" t="n">
        <x:f>IFERROR(VLOOKUP(D127,'Work Schedule'!$A$4:$F$10,3,FALSE),"")</x:f>
        <x:v>0.7083333333333334</x:v>
      </x:c>
      <x:c r="G127" s="50" t="n">
        <x:v>0.4166666666666667</x:v>
      </x:c>
      <x:c r="H127" s="50" t="n">
        <x:v>0.7083333333333334</x:v>
      </x:c>
      <x:c r="I127" s="52" t="n">
        <x:v>1</x:v>
      </x:c>
      <x:c r="J127" s="36" t="str">
        <x:v>Paid Leave</x:v>
      </x:c>
      <x:c r="K127" s="52" t="n">
        <x:v>2</x:v>
      </x:c>
      <x:c r="L127" s="58" t="n">
        <x:f>IFERROR(VLOOKUP(D127,'Work Schedule'!$A$4:$F$10,5,FALSE),0)</x:f>
        <x:v>8</x:v>
      </x:c>
      <x:c r="M127" s="46" t="n">
        <x:f>IF(OR(G127="",H127=""),0,ROUND(MAX(0,(H127-G127)*24-I127),2))</x:f>
        <x:v>6</x:v>
      </x:c>
      <x:c r="N127" s="60" t="n">
        <x:f>A127-WEEKDAY(A127,2)+1</x:f>
        <x:v>46279</x:v>
      </x:c>
      <x:c r="O127" s="58" t="n">
        <x:f>ROUND(SUMIFS($M$4:$M$400,$B$4:$B$400,B127,$N$4:$N$400,N127,$A$4:$A$400,"&lt;="&amp;A127),2)</x:f>
        <x:v>30.1</x:v>
      </x:c>
      <x:c r="P127" s="46" t="n">
        <x:f>ROUND(MAX(0,M127-Q127),2)</x:f>
        <x:v>6</x:v>
      </x:c>
      <x:c r="Q127" s="46" t="n">
        <x:f>ROUND(MAX(0,O127-Settings!$B$13)-MAX(0,O127-M127-Settings!$B$13),2)</x:f>
        <x:v>0</x:v>
      </x:c>
      <x:c r="R127" s="46" t="n">
        <x:f>ROUND(M127+K127-L127,2)</x:f>
        <x:v>0</x:v>
      </x:c>
      <x:c r="S127" t="str">
        <x:f>IF(B127="","",IF(J127&lt;&gt;"None",J127,IF(Q127&gt;0,"Overtime",IF(G127&gt;E127,"Late",IF(H127&lt;F127,"Left Early","On Time")))))</x:f>
        <x:v>Paid Leave</x:v>
      </x:c>
      <x:c r="T127" s="36" t="str">
        <x:v>Approved 2-hour paid personal leave in the morning.</x:v>
      </x:c>
    </x:row>
    <x:row r="128">
      <x:c r="A128" s="37" t="n">
        <x:v>46283</x:v>
      </x:c>
      <x:c r="B128" s="36" t="str">
        <x:v>EMP-005</x:v>
      </x:c>
      <x:c r="C128" s="54" t="str">
        <x:f>IFERROR(VLOOKUP(B128,Employees!$A$4:$K$9,2,FALSE),"")</x:f>
        <x:v>Sophia Nguyen</x:v>
      </x:c>
      <x:c r="D128" s="54" t="str">
        <x:f>TEXT(A128,"dddd")</x:f>
        <x:v>Friday</x:v>
      </x:c>
      <x:c r="E128" s="56" t="n">
        <x:f>IFERROR(VLOOKUP(D128,'Work Schedule'!$A$4:$F$10,2,FALSE),"")</x:f>
        <x:v>0.3333333333333333</x:v>
      </x:c>
      <x:c r="F128" s="56" t="n">
        <x:f>IFERROR(VLOOKUP(D128,'Work Schedule'!$A$4:$F$10,3,FALSE),"")</x:f>
        <x:v>0.7083333333333334</x:v>
      </x:c>
      <x:c r="G128" s="50" t="n">
        <x:v>0.3347222222222222</x:v>
      </x:c>
      <x:c r="H128" s="50" t="n">
        <x:v>0.7076388888888889</x:v>
      </x:c>
      <x:c r="I128" s="52" t="n">
        <x:v>1</x:v>
      </x:c>
      <x:c r="J128" s="36" t="str">
        <x:v>None</x:v>
      </x:c>
      <x:c r="K128" s="52" t="n">
        <x:v>0</x:v>
      </x:c>
      <x:c r="L128" s="58" t="n">
        <x:f>IFERROR(VLOOKUP(D128,'Work Schedule'!$A$4:$F$10,5,FALSE),0)</x:f>
        <x:v>8</x:v>
      </x:c>
      <x:c r="M128" s="46" t="n">
        <x:f>IF(OR(G128="",H128=""),0,ROUND(MAX(0,(H128-G128)*24-I128),2))</x:f>
        <x:v>7.95</x:v>
      </x:c>
      <x:c r="N128" s="60" t="n">
        <x:f>A128-WEEKDAY(A128,2)+1</x:f>
        <x:v>46279</x:v>
      </x:c>
      <x:c r="O128" s="58" t="n">
        <x:f>ROUND(SUMIFS($M$4:$M$400,$B$4:$B$400,B128,$N$4:$N$400,N128,$A$4:$A$400,"&lt;="&amp;A128),2)</x:f>
        <x:v>38.05</x:v>
      </x:c>
      <x:c r="P128" s="46" t="n">
        <x:f>ROUND(MAX(0,M128-Q128),2)</x:f>
        <x:v>7.95</x:v>
      </x:c>
      <x:c r="Q128" s="46" t="n">
        <x:f>ROUND(MAX(0,O128-Settings!$B$13)-MAX(0,O128-M128-Settings!$B$13),2)</x:f>
        <x:v>0</x:v>
      </x:c>
      <x:c r="R128" s="46" t="n">
        <x:f>ROUND(M128+K128-L128,2)</x:f>
        <x:v>-0.05</x:v>
      </x:c>
      <x:c r="S128" t="str">
        <x:f>IF(B128="","",IF(J128&lt;&gt;"None",J128,IF(Q128&gt;0,"Overtime",IF(G128&gt;E128,"Late",IF(H128&lt;F128,"Left Early","On Time")))))</x:f>
        <x:v>Late</x:v>
      </x:c>
      <x:c r="T128" s="36" t="str"/>
    </x:row>
    <x:row r="129">
      <x:c r="A129" s="37" t="n">
        <x:v>46284</x:v>
      </x:c>
      <x:c r="B129" s="36" t="str">
        <x:v>EMP-005</x:v>
      </x:c>
      <x:c r="C129" s="54" t="str">
        <x:f>IFERROR(VLOOKUP(B129,Employees!$A$4:$K$9,2,FALSE),"")</x:f>
        <x:v>Sophia Nguyen</x:v>
      </x:c>
      <x:c r="D129" s="54" t="str">
        <x:f>TEXT(A129,"dddd")</x:f>
        <x:v>Saturday</x:v>
      </x:c>
      <x:c r="E129" s="56" t="n">
        <x:f>IFERROR(VLOOKUP(D129,'Work Schedule'!$A$4:$F$10,2,FALSE),"")</x:f>
        <x:v>0.3333333333333333</x:v>
      </x:c>
      <x:c r="F129" s="56" t="n">
        <x:f>IFERROR(VLOOKUP(D129,'Work Schedule'!$A$4:$F$10,3,FALSE),"")</x:f>
        <x:v>0.5833333333333334</x:v>
      </x:c>
      <x:c r="G129" s="50" t="n">
        <x:v>0.3347222222222222</x:v>
      </x:c>
      <x:c r="H129" s="50" t="n">
        <x:v>0.5847222222222223</x:v>
      </x:c>
      <x:c r="I129" s="52" t="n">
        <x:v>1</x:v>
      </x:c>
      <x:c r="J129" s="36" t="str">
        <x:v>None</x:v>
      </x:c>
      <x:c r="K129" s="52" t="n">
        <x:v>0</x:v>
      </x:c>
      <x:c r="L129" s="58" t="n">
        <x:f>IFERROR(VLOOKUP(D129,'Work Schedule'!$A$4:$F$10,5,FALSE),0)</x:f>
        <x:v>5</x:v>
      </x:c>
      <x:c r="M129" s="46" t="n">
        <x:f>IF(OR(G129="",H129=""),0,ROUND(MAX(0,(H129-G129)*24-I129),2))</x:f>
        <x:v>5</x:v>
      </x:c>
      <x:c r="N129" s="60" t="n">
        <x:f>A129-WEEKDAY(A129,2)+1</x:f>
        <x:v>46279</x:v>
      </x:c>
      <x:c r="O129" s="58" t="n">
        <x:f>ROUND(SUMIFS($M$4:$M$400,$B$4:$B$400,B129,$N$4:$N$400,N129,$A$4:$A$400,"&lt;="&amp;A129),2)</x:f>
        <x:v>43.05</x:v>
      </x:c>
      <x:c r="P129" s="46" t="n">
        <x:f>ROUND(MAX(0,M129-Q129),2)</x:f>
        <x:v>5</x:v>
      </x:c>
      <x:c r="Q129" s="46" t="n">
        <x:f>ROUND(MAX(0,O129-Settings!$B$13)-MAX(0,O129-M129-Settings!$B$13),2)</x:f>
        <x:v>0</x:v>
      </x:c>
      <x:c r="R129" s="46" t="n">
        <x:f>ROUND(M129+K129-L129,2)</x:f>
        <x:v>0</x:v>
      </x:c>
      <x:c r="S129" t="str">
        <x:f>IF(B129="","",IF(J129&lt;&gt;"None",J129,IF(Q129&gt;0,"Overtime",IF(G129&gt;E129,"Late",IF(H129&lt;F129,"Left Early","On Time")))))</x:f>
        <x:v>Late</x:v>
      </x:c>
      <x:c r="T129" s="36" t="str"/>
    </x:row>
    <x:row r="130">
      <x:c r="A130" s="37" t="n">
        <x:v>46286</x:v>
      </x:c>
      <x:c r="B130" s="36" t="str">
        <x:v>EMP-005</x:v>
      </x:c>
      <x:c r="C130" s="54" t="str">
        <x:f>IFERROR(VLOOKUP(B130,Employees!$A$4:$K$9,2,FALSE),"")</x:f>
        <x:v>Sophia Nguyen</x:v>
      </x:c>
      <x:c r="D130" s="54" t="str">
        <x:f>TEXT(A130,"dddd")</x:f>
        <x:v>Monday</x:v>
      </x:c>
      <x:c r="E130" s="56" t="n">
        <x:f>IFERROR(VLOOKUP(D130,'Work Schedule'!$A$4:$F$10,2,FALSE),"")</x:f>
        <x:v>0.3333333333333333</x:v>
      </x:c>
      <x:c r="F130" s="56" t="n">
        <x:f>IFERROR(VLOOKUP(D130,'Work Schedule'!$A$4:$F$10,3,FALSE),"")</x:f>
        <x:v>0.7083333333333334</x:v>
      </x:c>
      <x:c r="G130" s="50" t="n">
        <x:v>0.3333333333333333</x:v>
      </x:c>
      <x:c r="H130" s="50" t="n">
        <x:v>0.7222222222222222</x:v>
      </x:c>
      <x:c r="I130" s="52" t="n">
        <x:v>1</x:v>
      </x:c>
      <x:c r="J130" s="36" t="str">
        <x:v>None</x:v>
      </x:c>
      <x:c r="K130" s="52" t="n">
        <x:v>0</x:v>
      </x:c>
      <x:c r="L130" s="58" t="n">
        <x:f>IFERROR(VLOOKUP(D130,'Work Schedule'!$A$4:$F$10,5,FALSE),0)</x:f>
        <x:v>8</x:v>
      </x:c>
      <x:c r="M130" s="46" t="n">
        <x:f>IF(OR(G130="",H130=""),0,ROUND(MAX(0,(H130-G130)*24-I130),2))</x:f>
        <x:v>8.33</x:v>
      </x:c>
      <x:c r="N130" s="60" t="n">
        <x:f>A130-WEEKDAY(A130,2)+1</x:f>
        <x:v>46286</x:v>
      </x:c>
      <x:c r="O130" s="58" t="n">
        <x:f>ROUND(SUMIFS($M$4:$M$400,$B$4:$B$400,B130,$N$4:$N$400,N130,$A$4:$A$400,"&lt;="&amp;A130),2)</x:f>
        <x:v>8.33</x:v>
      </x:c>
      <x:c r="P130" s="46" t="n">
        <x:f>ROUND(MAX(0,M130-Q130),2)</x:f>
        <x:v>8.33</x:v>
      </x:c>
      <x:c r="Q130" s="46" t="n">
        <x:f>ROUND(MAX(0,O130-Settings!$B$13)-MAX(0,O130-M130-Settings!$B$13),2)</x:f>
        <x:v>0</x:v>
      </x:c>
      <x:c r="R130" s="46" t="n">
        <x:f>ROUND(M130+K130-L130,2)</x:f>
        <x:v>0.33</x:v>
      </x:c>
      <x:c r="S130" t="str">
        <x:f>IF(B130="","",IF(J130&lt;&gt;"None",J130,IF(Q130&gt;0,"Overtime",IF(G130&gt;E130,"Late",IF(H130&lt;F130,"Left Early","On Time")))))</x:f>
        <x:v>On Time</x:v>
      </x:c>
      <x:c r="T130" s="36" t="str">
        <x:v>Stayed 20 minutes to complete employee relations documentation.</x:v>
      </x:c>
    </x:row>
    <x:row r="131">
      <x:c r="A131" s="37" t="n">
        <x:v>46287</x:v>
      </x:c>
      <x:c r="B131" s="36" t="str">
        <x:v>EMP-005</x:v>
      </x:c>
      <x:c r="C131" s="54" t="str">
        <x:f>IFERROR(VLOOKUP(B131,Employees!$A$4:$K$9,2,FALSE),"")</x:f>
        <x:v>Sophia Nguyen</x:v>
      </x:c>
      <x:c r="D131" s="54" t="str">
        <x:f>TEXT(A131,"dddd")</x:f>
        <x:v>Tuesday</x:v>
      </x:c>
      <x:c r="E131" s="56" t="n">
        <x:f>IFERROR(VLOOKUP(D131,'Work Schedule'!$A$4:$F$10,2,FALSE),"")</x:f>
        <x:v>0.3333333333333333</x:v>
      </x:c>
      <x:c r="F131" s="56" t="n">
        <x:f>IFERROR(VLOOKUP(D131,'Work Schedule'!$A$4:$F$10,3,FALSE),"")</x:f>
        <x:v>0.7083333333333334</x:v>
      </x:c>
      <x:c r="G131" s="50" t="n">
        <x:v>0.33402777777777776</x:v>
      </x:c>
      <x:c r="H131" s="50" t="n">
        <x:v>0.7125</x:v>
      </x:c>
      <x:c r="I131" s="52" t="n">
        <x:v>1</x:v>
      </x:c>
      <x:c r="J131" s="36" t="str">
        <x:v>None</x:v>
      </x:c>
      <x:c r="K131" s="52" t="n">
        <x:v>0</x:v>
      </x:c>
      <x:c r="L131" s="58" t="n">
        <x:f>IFERROR(VLOOKUP(D131,'Work Schedule'!$A$4:$F$10,5,FALSE),0)</x:f>
        <x:v>8</x:v>
      </x:c>
      <x:c r="M131" s="46" t="n">
        <x:f>IF(OR(G131="",H131=""),0,ROUND(MAX(0,(H131-G131)*24-I131),2))</x:f>
        <x:v>8.08</x:v>
      </x:c>
      <x:c r="N131" s="60" t="n">
        <x:f>A131-WEEKDAY(A131,2)+1</x:f>
        <x:v>46286</x:v>
      </x:c>
      <x:c r="O131" s="58" t="n">
        <x:f>ROUND(SUMIFS($M$4:$M$400,$B$4:$B$400,B131,$N$4:$N$400,N131,$A$4:$A$400,"&lt;="&amp;A131),2)</x:f>
        <x:v>16.41</x:v>
      </x:c>
      <x:c r="P131" s="46" t="n">
        <x:f>ROUND(MAX(0,M131-Q131),2)</x:f>
        <x:v>8.08</x:v>
      </x:c>
      <x:c r="Q131" s="46" t="n">
        <x:f>ROUND(MAX(0,O131-Settings!$B$13)-MAX(0,O131-M131-Settings!$B$13),2)</x:f>
        <x:v>0</x:v>
      </x:c>
      <x:c r="R131" s="46" t="n">
        <x:f>ROUND(M131+K131-L131,2)</x:f>
        <x:v>0.08</x:v>
      </x:c>
      <x:c r="S131" t="str">
        <x:f>IF(B131="","",IF(J131&lt;&gt;"None",J131,IF(Q131&gt;0,"Overtime",IF(G131&gt;E131,"Late",IF(H131&lt;F131,"Left Early","On Time")))))</x:f>
        <x:v>Late</x:v>
      </x:c>
      <x:c r="T131" s="36" t="str"/>
    </x:row>
    <x:row r="132">
      <x:c r="A132" s="37" t="n">
        <x:v>46288</x:v>
      </x:c>
      <x:c r="B132" s="36" t="str">
        <x:v>EMP-005</x:v>
      </x:c>
      <x:c r="C132" s="54" t="str">
        <x:f>IFERROR(VLOOKUP(B132,Employees!$A$4:$K$9,2,FALSE),"")</x:f>
        <x:v>Sophia Nguyen</x:v>
      </x:c>
      <x:c r="D132" s="54" t="str">
        <x:f>TEXT(A132,"dddd")</x:f>
        <x:v>Wednesday</x:v>
      </x:c>
      <x:c r="E132" s="56" t="n">
        <x:f>IFERROR(VLOOKUP(D132,'Work Schedule'!$A$4:$F$10,2,FALSE),"")</x:f>
        <x:v>0.3333333333333333</x:v>
      </x:c>
      <x:c r="F132" s="56" t="n">
        <x:f>IFERROR(VLOOKUP(D132,'Work Schedule'!$A$4:$F$10,3,FALSE),"")</x:f>
        <x:v>0.7083333333333334</x:v>
      </x:c>
      <x:c r="G132" s="50" t="n">
        <x:v>0.33402777777777776</x:v>
      </x:c>
      <x:c r="H132" s="50" t="n">
        <x:v>0.7111111111111111</x:v>
      </x:c>
      <x:c r="I132" s="52" t="n">
        <x:v>1</x:v>
      </x:c>
      <x:c r="J132" s="36" t="str">
        <x:v>None</x:v>
      </x:c>
      <x:c r="K132" s="52" t="n">
        <x:v>0</x:v>
      </x:c>
      <x:c r="L132" s="58" t="n">
        <x:f>IFERROR(VLOOKUP(D132,'Work Schedule'!$A$4:$F$10,5,FALSE),0)</x:f>
        <x:v>8</x:v>
      </x:c>
      <x:c r="M132" s="46" t="n">
        <x:f>IF(OR(G132="",H132=""),0,ROUND(MAX(0,(H132-G132)*24-I132),2))</x:f>
        <x:v>8.05</x:v>
      </x:c>
      <x:c r="N132" s="60" t="n">
        <x:f>A132-WEEKDAY(A132,2)+1</x:f>
        <x:v>46286</x:v>
      </x:c>
      <x:c r="O132" s="58" t="n">
        <x:f>ROUND(SUMIFS($M$4:$M$400,$B$4:$B$400,B132,$N$4:$N$400,N132,$A$4:$A$400,"&lt;="&amp;A132),2)</x:f>
        <x:v>24.46</x:v>
      </x:c>
      <x:c r="P132" s="46" t="n">
        <x:f>ROUND(MAX(0,M132-Q132),2)</x:f>
        <x:v>8.05</x:v>
      </x:c>
      <x:c r="Q132" s="46" t="n">
        <x:f>ROUND(MAX(0,O132-Settings!$B$13)-MAX(0,O132-M132-Settings!$B$13),2)</x:f>
        <x:v>0</x:v>
      </x:c>
      <x:c r="R132" s="46" t="n">
        <x:f>ROUND(M132+K132-L132,2)</x:f>
        <x:v>0.05</x:v>
      </x:c>
      <x:c r="S132" t="str">
        <x:f>IF(B132="","",IF(J132&lt;&gt;"None",J132,IF(Q132&gt;0,"Overtime",IF(G132&gt;E132,"Late",IF(H132&lt;F132,"Left Early","On Time")))))</x:f>
        <x:v>Late</x:v>
      </x:c>
      <x:c r="T132" s="36" t="str"/>
    </x:row>
    <x:row r="133">
      <x:c r="A133" s="37" t="n">
        <x:v>46289</x:v>
      </x:c>
      <x:c r="B133" s="36" t="str">
        <x:v>EMP-005</x:v>
      </x:c>
      <x:c r="C133" s="54" t="str">
        <x:f>IFERROR(VLOOKUP(B133,Employees!$A$4:$K$9,2,FALSE),"")</x:f>
        <x:v>Sophia Nguyen</x:v>
      </x:c>
      <x:c r="D133" s="54" t="str">
        <x:f>TEXT(A133,"dddd")</x:f>
        <x:v>Thursday</x:v>
      </x:c>
      <x:c r="E133" s="56" t="n">
        <x:f>IFERROR(VLOOKUP(D133,'Work Schedule'!$A$4:$F$10,2,FALSE),"")</x:f>
        <x:v>0.3333333333333333</x:v>
      </x:c>
      <x:c r="F133" s="56" t="n">
        <x:f>IFERROR(VLOOKUP(D133,'Work Schedule'!$A$4:$F$10,3,FALSE),"")</x:f>
        <x:v>0.7083333333333334</x:v>
      </x:c>
      <x:c r="G133" s="50" t="n">
        <x:v>0.3326388888888889</x:v>
      </x:c>
      <x:c r="H133" s="50" t="n">
        <x:v>0.7097222222222223</x:v>
      </x:c>
      <x:c r="I133" s="52" t="n">
        <x:v>1</x:v>
      </x:c>
      <x:c r="J133" s="36" t="str">
        <x:v>None</x:v>
      </x:c>
      <x:c r="K133" s="52" t="n">
        <x:v>0</x:v>
      </x:c>
      <x:c r="L133" s="58" t="n">
        <x:f>IFERROR(VLOOKUP(D133,'Work Schedule'!$A$4:$F$10,5,FALSE),0)</x:f>
        <x:v>8</x:v>
      </x:c>
      <x:c r="M133" s="46" t="n">
        <x:f>IF(OR(G133="",H133=""),0,ROUND(MAX(0,(H133-G133)*24-I133),2))</x:f>
        <x:v>8.05</x:v>
      </x:c>
      <x:c r="N133" s="60" t="n">
        <x:f>A133-WEEKDAY(A133,2)+1</x:f>
        <x:v>46286</x:v>
      </x:c>
      <x:c r="O133" s="58" t="n">
        <x:f>ROUND(SUMIFS($M$4:$M$400,$B$4:$B$400,B133,$N$4:$N$400,N133,$A$4:$A$400,"&lt;="&amp;A133),2)</x:f>
        <x:v>32.51</x:v>
      </x:c>
      <x:c r="P133" s="46" t="n">
        <x:f>ROUND(MAX(0,M133-Q133),2)</x:f>
        <x:v>8.05</x:v>
      </x:c>
      <x:c r="Q133" s="46" t="n">
        <x:f>ROUND(MAX(0,O133-Settings!$B$13)-MAX(0,O133-M133-Settings!$B$13),2)</x:f>
        <x:v>0</x:v>
      </x:c>
      <x:c r="R133" s="46" t="n">
        <x:f>ROUND(M133+K133-L133,2)</x:f>
        <x:v>0.05</x:v>
      </x:c>
      <x:c r="S133" t="str">
        <x:f>IF(B133="","",IF(J133&lt;&gt;"None",J133,IF(Q133&gt;0,"Overtime",IF(G133&gt;E133,"Late",IF(H133&lt;F133,"Left Early","On Time")))))</x:f>
        <x:v>On Time</x:v>
      </x:c>
      <x:c r="T133" s="36" t="str"/>
    </x:row>
    <x:row r="134">
      <x:c r="A134" s="37" t="n">
        <x:v>46290</x:v>
      </x:c>
      <x:c r="B134" s="36" t="str">
        <x:v>EMP-005</x:v>
      </x:c>
      <x:c r="C134" s="54" t="str">
        <x:f>IFERROR(VLOOKUP(B134,Employees!$A$4:$K$9,2,FALSE),"")</x:f>
        <x:v>Sophia Nguyen</x:v>
      </x:c>
      <x:c r="D134" s="54" t="str">
        <x:f>TEXT(A134,"dddd")</x:f>
        <x:v>Friday</x:v>
      </x:c>
      <x:c r="E134" s="56" t="n">
        <x:f>IFERROR(VLOOKUP(D134,'Work Schedule'!$A$4:$F$10,2,FALSE),"")</x:f>
        <x:v>0.3333333333333333</x:v>
      </x:c>
      <x:c r="F134" s="56" t="n">
        <x:f>IFERROR(VLOOKUP(D134,'Work Schedule'!$A$4:$F$10,3,FALSE),"")</x:f>
        <x:v>0.7083333333333334</x:v>
      </x:c>
      <x:c r="G134" s="50" t="n">
        <x:v>0.33055555555555555</x:v>
      </x:c>
      <x:c r="H134" s="50" t="n">
        <x:v>0.7076388888888889</x:v>
      </x:c>
      <x:c r="I134" s="52" t="n">
        <x:v>1</x:v>
      </x:c>
      <x:c r="J134" s="36" t="str">
        <x:v>None</x:v>
      </x:c>
      <x:c r="K134" s="52" t="n">
        <x:v>0</x:v>
      </x:c>
      <x:c r="L134" s="58" t="n">
        <x:f>IFERROR(VLOOKUP(D134,'Work Schedule'!$A$4:$F$10,5,FALSE),0)</x:f>
        <x:v>8</x:v>
      </x:c>
      <x:c r="M134" s="46" t="n">
        <x:f>IF(OR(G134="",H134=""),0,ROUND(MAX(0,(H134-G134)*24-I134),2))</x:f>
        <x:v>8.05</x:v>
      </x:c>
      <x:c r="N134" s="60" t="n">
        <x:f>A134-WEEKDAY(A134,2)+1</x:f>
        <x:v>46286</x:v>
      </x:c>
      <x:c r="O134" s="58" t="n">
        <x:f>ROUND(SUMIFS($M$4:$M$400,$B$4:$B$400,B134,$N$4:$N$400,N134,$A$4:$A$400,"&lt;="&amp;A134),2)</x:f>
        <x:v>40.56</x:v>
      </x:c>
      <x:c r="P134" s="46" t="n">
        <x:f>ROUND(MAX(0,M134-Q134),2)</x:f>
        <x:v>8.05</x:v>
      </x:c>
      <x:c r="Q134" s="46" t="n">
        <x:f>ROUND(MAX(0,O134-Settings!$B$13)-MAX(0,O134-M134-Settings!$B$13),2)</x:f>
        <x:v>0</x:v>
      </x:c>
      <x:c r="R134" s="46" t="n">
        <x:f>ROUND(M134+K134-L134,2)</x:f>
        <x:v>0.05</x:v>
      </x:c>
      <x:c r="S134" t="str">
        <x:f>IF(B134="","",IF(J134&lt;&gt;"None",J134,IF(Q134&gt;0,"Overtime",IF(G134&gt;E134,"Late",IF(H134&lt;F134,"Left Early","On Time")))))</x:f>
        <x:v>Left Early</x:v>
      </x:c>
      <x:c r="T134" s="36" t="str"/>
    </x:row>
    <x:row r="135">
      <x:c r="A135" s="37" t="n">
        <x:v>46291</x:v>
      </x:c>
      <x:c r="B135" s="36" t="str">
        <x:v>EMP-005</x:v>
      </x:c>
      <x:c r="C135" s="54" t="str">
        <x:f>IFERROR(VLOOKUP(B135,Employees!$A$4:$K$9,2,FALSE),"")</x:f>
        <x:v>Sophia Nguyen</x:v>
      </x:c>
      <x:c r="D135" s="54" t="str">
        <x:f>TEXT(A135,"dddd")</x:f>
        <x:v>Saturday</x:v>
      </x:c>
      <x:c r="E135" s="56" t="n">
        <x:f>IFERROR(VLOOKUP(D135,'Work Schedule'!$A$4:$F$10,2,FALSE),"")</x:f>
        <x:v>0.3333333333333333</x:v>
      </x:c>
      <x:c r="F135" s="56" t="n">
        <x:f>IFERROR(VLOOKUP(D135,'Work Schedule'!$A$4:$F$10,3,FALSE),"")</x:f>
        <x:v>0.5833333333333334</x:v>
      </x:c>
      <x:c r="G135" s="50" t="n">
        <x:v>0.33055555555555555</x:v>
      </x:c>
      <x:c r="H135" s="50" t="n">
        <x:v>0.5847222222222223</x:v>
      </x:c>
      <x:c r="I135" s="52" t="n">
        <x:v>1</x:v>
      </x:c>
      <x:c r="J135" s="36" t="str">
        <x:v>None</x:v>
      </x:c>
      <x:c r="K135" s="52" t="n">
        <x:v>0</x:v>
      </x:c>
      <x:c r="L135" s="58" t="n">
        <x:f>IFERROR(VLOOKUP(D135,'Work Schedule'!$A$4:$F$10,5,FALSE),0)</x:f>
        <x:v>5</x:v>
      </x:c>
      <x:c r="M135" s="46" t="n">
        <x:f>IF(OR(G135="",H135=""),0,ROUND(MAX(0,(H135-G135)*24-I135),2))</x:f>
        <x:v>5.1</x:v>
      </x:c>
      <x:c r="N135" s="60" t="n">
        <x:f>A135-WEEKDAY(A135,2)+1</x:f>
        <x:v>46286</x:v>
      </x:c>
      <x:c r="O135" s="58" t="n">
        <x:f>ROUND(SUMIFS($M$4:$M$400,$B$4:$B$400,B135,$N$4:$N$400,N135,$A$4:$A$400,"&lt;="&amp;A135),2)</x:f>
        <x:v>45.66</x:v>
      </x:c>
      <x:c r="P135" s="46" t="n">
        <x:f>ROUND(MAX(0,M135-Q135),2)</x:f>
        <x:v>3.44</x:v>
      </x:c>
      <x:c r="Q135" s="46" t="n">
        <x:f>ROUND(MAX(0,O135-Settings!$B$13)-MAX(0,O135-M135-Settings!$B$13),2)</x:f>
        <x:v>1.66</x:v>
      </x:c>
      <x:c r="R135" s="46" t="n">
        <x:f>ROUND(M135+K135-L135,2)</x:f>
        <x:v>0.1</x:v>
      </x:c>
      <x:c r="S135" t="str">
        <x:f>IF(B135="","",IF(J135&lt;&gt;"None",J135,IF(Q135&gt;0,"Overtime",IF(G135&gt;E135,"Late",IF(H135&lt;F135,"Left Early","On Time")))))</x:f>
        <x:v>Overtime</x:v>
      </x:c>
      <x:c r="T135" s="36" t="str"/>
    </x:row>
    <x:row r="136">
      <x:c r="A136" s="37" t="n">
        <x:v>46293</x:v>
      </x:c>
      <x:c r="B136" s="36" t="str">
        <x:v>EMP-005</x:v>
      </x:c>
      <x:c r="C136" s="54" t="str">
        <x:f>IFERROR(VLOOKUP(B136,Employees!$A$4:$K$9,2,FALSE),"")</x:f>
        <x:v>Sophia Nguyen</x:v>
      </x:c>
      <x:c r="D136" s="54" t="str">
        <x:f>TEXT(A136,"dddd")</x:f>
        <x:v>Monday</x:v>
      </x:c>
      <x:c r="E136" s="56" t="n">
        <x:f>IFERROR(VLOOKUP(D136,'Work Schedule'!$A$4:$F$10,2,FALSE),"")</x:f>
        <x:v>0.3333333333333333</x:v>
      </x:c>
      <x:c r="F136" s="56" t="n">
        <x:f>IFERROR(VLOOKUP(D136,'Work Schedule'!$A$4:$F$10,3,FALSE),"")</x:f>
        <x:v>0.7083333333333334</x:v>
      </x:c>
      <x:c r="G136" s="50" t="n">
        <x:v>0.3333333333333333</x:v>
      </x:c>
      <x:c r="H136" s="50" t="n">
        <x:v>0.7069444444444445</x:v>
      </x:c>
      <x:c r="I136" s="52" t="n">
        <x:v>1</x:v>
      </x:c>
      <x:c r="J136" s="36" t="str">
        <x:v>None</x:v>
      </x:c>
      <x:c r="K136" s="52" t="n">
        <x:v>0</x:v>
      </x:c>
      <x:c r="L136" s="58" t="n">
        <x:f>IFERROR(VLOOKUP(D136,'Work Schedule'!$A$4:$F$10,5,FALSE),0)</x:f>
        <x:v>8</x:v>
      </x:c>
      <x:c r="M136" s="46" t="n">
        <x:f>IF(OR(G136="",H136=""),0,ROUND(MAX(0,(H136-G136)*24-I136),2))</x:f>
        <x:v>7.97</x:v>
      </x:c>
      <x:c r="N136" s="60" t="n">
        <x:f>A136-WEEKDAY(A136,2)+1</x:f>
        <x:v>46293</x:v>
      </x:c>
      <x:c r="O136" s="58" t="n">
        <x:f>ROUND(SUMIFS($M$4:$M$400,$B$4:$B$400,B136,$N$4:$N$400,N136,$A$4:$A$400,"&lt;="&amp;A136),2)</x:f>
        <x:v>7.97</x:v>
      </x:c>
      <x:c r="P136" s="46" t="n">
        <x:f>ROUND(MAX(0,M136-Q136),2)</x:f>
        <x:v>7.97</x:v>
      </x:c>
      <x:c r="Q136" s="46" t="n">
        <x:f>ROUND(MAX(0,O136-Settings!$B$13)-MAX(0,O136-M136-Settings!$B$13),2)</x:f>
        <x:v>0</x:v>
      </x:c>
      <x:c r="R136" s="46" t="n">
        <x:f>ROUND(M136+K136-L136,2)</x:f>
        <x:v>-0.03</x:v>
      </x:c>
      <x:c r="S136" t="str">
        <x:f>IF(B136="","",IF(J136&lt;&gt;"None",J136,IF(Q136&gt;0,"Overtime",IF(G136&gt;E136,"Late",IF(H136&lt;F136,"Left Early","On Time")))))</x:f>
        <x:v>Left Early</x:v>
      </x:c>
      <x:c r="T136" s="36" t="str"/>
    </x:row>
    <x:row r="137">
      <x:c r="A137" s="37" t="n">
        <x:v>46294</x:v>
      </x:c>
      <x:c r="B137" s="36" t="str">
        <x:v>EMP-005</x:v>
      </x:c>
      <x:c r="C137" s="54" t="str">
        <x:f>IFERROR(VLOOKUP(B137,Employees!$A$4:$K$9,2,FALSE),"")</x:f>
        <x:v>Sophia Nguyen</x:v>
      </x:c>
      <x:c r="D137" s="54" t="str">
        <x:f>TEXT(A137,"dddd")</x:f>
        <x:v>Tuesday</x:v>
      </x:c>
      <x:c r="E137" s="56" t="n">
        <x:f>IFERROR(VLOOKUP(D137,'Work Schedule'!$A$4:$F$10,2,FALSE),"")</x:f>
        <x:v>0.3333333333333333</x:v>
      </x:c>
      <x:c r="F137" s="56" t="n">
        <x:f>IFERROR(VLOOKUP(D137,'Work Schedule'!$A$4:$F$10,3,FALSE),"")</x:f>
        <x:v>0.7083333333333334</x:v>
      </x:c>
      <x:c r="G137" s="50" t="n">
        <x:v>0.3333333333333333</x:v>
      </x:c>
      <x:c r="H137" s="50" t="n">
        <x:v>0.7083333333333334</x:v>
      </x:c>
      <x:c r="I137" s="52" t="n">
        <x:v>1</x:v>
      </x:c>
      <x:c r="J137" s="36" t="str">
        <x:v>None</x:v>
      </x:c>
      <x:c r="K137" s="52" t="n">
        <x:v>0</x:v>
      </x:c>
      <x:c r="L137" s="58" t="n">
        <x:f>IFERROR(VLOOKUP(D137,'Work Schedule'!$A$4:$F$10,5,FALSE),0)</x:f>
        <x:v>8</x:v>
      </x:c>
      <x:c r="M137" s="46" t="n">
        <x:f>IF(OR(G137="",H137=""),0,ROUND(MAX(0,(H137-G137)*24-I137),2))</x:f>
        <x:v>8</x:v>
      </x:c>
      <x:c r="N137" s="60" t="n">
        <x:f>A137-WEEKDAY(A137,2)+1</x:f>
        <x:v>46293</x:v>
      </x:c>
      <x:c r="O137" s="58" t="n">
        <x:f>ROUND(SUMIFS($M$4:$M$400,$B$4:$B$400,B137,$N$4:$N$400,N137,$A$4:$A$400,"&lt;="&amp;A137),2)</x:f>
        <x:v>15.97</x:v>
      </x:c>
      <x:c r="P137" s="46" t="n">
        <x:f>ROUND(MAX(0,M137-Q137),2)</x:f>
        <x:v>8</x:v>
      </x:c>
      <x:c r="Q137" s="46" t="n">
        <x:f>ROUND(MAX(0,O137-Settings!$B$13)-MAX(0,O137-M137-Settings!$B$13),2)</x:f>
        <x:v>0</x:v>
      </x:c>
      <x:c r="R137" s="46" t="n">
        <x:f>ROUND(M137+K137-L137,2)</x:f>
        <x:v>0</x:v>
      </x:c>
      <x:c r="S137" t="str">
        <x:f>IF(B137="","",IF(J137&lt;&gt;"None",J137,IF(Q137&gt;0,"Overtime",IF(G137&gt;E137,"Late",IF(H137&lt;F137,"Left Early","On Time")))))</x:f>
        <x:v>On Time</x:v>
      </x:c>
      <x:c r="T137" s="36" t="str"/>
    </x:row>
    <x:row r="138">
      <x:c r="A138" s="37" t="n">
        <x:v>46295</x:v>
      </x:c>
      <x:c r="B138" s="36" t="str">
        <x:v>EMP-005</x:v>
      </x:c>
      <x:c r="C138" s="54" t="str">
        <x:f>IFERROR(VLOOKUP(B138,Employees!$A$4:$K$9,2,FALSE),"")</x:f>
        <x:v>Sophia Nguyen</x:v>
      </x:c>
      <x:c r="D138" s="54" t="str">
        <x:f>TEXT(A138,"dddd")</x:f>
        <x:v>Wednesday</x:v>
      </x:c>
      <x:c r="E138" s="56" t="n">
        <x:f>IFERROR(VLOOKUP(D138,'Work Schedule'!$A$4:$F$10,2,FALSE),"")</x:f>
        <x:v>0.3333333333333333</x:v>
      </x:c>
      <x:c r="F138" s="56" t="n">
        <x:f>IFERROR(VLOOKUP(D138,'Work Schedule'!$A$4:$F$10,3,FALSE),"")</x:f>
        <x:v>0.7083333333333334</x:v>
      </x:c>
      <x:c r="G138" s="50" t="n">
        <x:v>0.3333333333333333</x:v>
      </x:c>
      <x:c r="H138" s="50" t="n">
        <x:v>0.7104166666666667</x:v>
      </x:c>
      <x:c r="I138" s="52" t="n">
        <x:v>1</x:v>
      </x:c>
      <x:c r="J138" s="36" t="str">
        <x:v>None</x:v>
      </x:c>
      <x:c r="K138" s="52" t="n">
        <x:v>0</x:v>
      </x:c>
      <x:c r="L138" s="58" t="n">
        <x:f>IFERROR(VLOOKUP(D138,'Work Schedule'!$A$4:$F$10,5,FALSE),0)</x:f>
        <x:v>8</x:v>
      </x:c>
      <x:c r="M138" s="46" t="n">
        <x:f>IF(OR(G138="",H138=""),0,ROUND(MAX(0,(H138-G138)*24-I138),2))</x:f>
        <x:v>8.05</x:v>
      </x:c>
      <x:c r="N138" s="60" t="n">
        <x:f>A138-WEEKDAY(A138,2)+1</x:f>
        <x:v>46293</x:v>
      </x:c>
      <x:c r="O138" s="58" t="n">
        <x:f>ROUND(SUMIFS($M$4:$M$400,$B$4:$B$400,B138,$N$4:$N$400,N138,$A$4:$A$400,"&lt;="&amp;A138),2)</x:f>
        <x:v>24.02</x:v>
      </x:c>
      <x:c r="P138" s="46" t="n">
        <x:f>ROUND(MAX(0,M138-Q138),2)</x:f>
        <x:v>8.05</x:v>
      </x:c>
      <x:c r="Q138" s="46" t="n">
        <x:f>ROUND(MAX(0,O138-Settings!$B$13)-MAX(0,O138-M138-Settings!$B$13),2)</x:f>
        <x:v>0</x:v>
      </x:c>
      <x:c r="R138" s="46" t="n">
        <x:f>ROUND(M138+K138-L138,2)</x:f>
        <x:v>0.05</x:v>
      </x:c>
      <x:c r="S138" t="str">
        <x:f>IF(B138="","",IF(J138&lt;&gt;"None",J138,IF(Q138&gt;0,"Overtime",IF(G138&gt;E138,"Late",IF(H138&lt;F138,"Left Early","On Time")))))</x:f>
        <x:v>On Time</x:v>
      </x:c>
      <x:c r="T138" s="36" t="str"/>
    </x:row>
    <x:row r="139">
      <x:c r="A139" s="37" t="n">
        <x:v>46265</x:v>
      </x:c>
      <x:c r="B139" s="36" t="str">
        <x:v>EMP-006</x:v>
      </x:c>
      <x:c r="C139" s="54" t="str">
        <x:f>IFERROR(VLOOKUP(B139,Employees!$A$4:$K$9,2,FALSE),"")</x:f>
        <x:v>Ethan Brown</x:v>
      </x:c>
      <x:c r="D139" s="54" t="str">
        <x:f>TEXT(A139,"dddd")</x:f>
        <x:v>Monday</x:v>
      </x:c>
      <x:c r="E139" s="56" t="n">
        <x:f>IFERROR(VLOOKUP(D139,'Work Schedule'!$A$4:$F$10,2,FALSE),"")</x:f>
        <x:v>0.3333333333333333</x:v>
      </x:c>
      <x:c r="F139" s="56" t="n">
        <x:f>IFERROR(VLOOKUP(D139,'Work Schedule'!$A$4:$F$10,3,FALSE),"")</x:f>
        <x:v>0.7083333333333334</x:v>
      </x:c>
      <x:c r="G139" s="50" t="n">
        <x:v>0.3326388888888889</x:v>
      </x:c>
      <x:c r="H139" s="50" t="n">
        <x:v>0.7125</x:v>
      </x:c>
      <x:c r="I139" s="52" t="n">
        <x:v>1</x:v>
      </x:c>
      <x:c r="J139" s="36" t="str">
        <x:v>None</x:v>
      </x:c>
      <x:c r="K139" s="52" t="n">
        <x:v>0</x:v>
      </x:c>
      <x:c r="L139" s="58" t="n">
        <x:f>IFERROR(VLOOKUP(D139,'Work Schedule'!$A$4:$F$10,5,FALSE),0)</x:f>
        <x:v>8</x:v>
      </x:c>
      <x:c r="M139" s="46" t="n">
        <x:f>IF(OR(G139="",H139=""),0,ROUND(MAX(0,(H139-G139)*24-I139),2))</x:f>
        <x:v>8.12</x:v>
      </x:c>
      <x:c r="N139" s="60" t="n">
        <x:f>A139-WEEKDAY(A139,2)+1</x:f>
        <x:v>46265</x:v>
      </x:c>
      <x:c r="O139" s="58" t="n">
        <x:f>ROUND(SUMIFS($M$4:$M$400,$B$4:$B$400,B139,$N$4:$N$400,N139,$A$4:$A$400,"&lt;="&amp;A139),2)</x:f>
        <x:v>8.12</x:v>
      </x:c>
      <x:c r="P139" s="46" t="n">
        <x:f>ROUND(MAX(0,M139-Q139),2)</x:f>
        <x:v>8.12</x:v>
      </x:c>
      <x:c r="Q139" s="46" t="n">
        <x:f>ROUND(MAX(0,O139-Settings!$B$13)-MAX(0,O139-M139-Settings!$B$13),2)</x:f>
        <x:v>0</x:v>
      </x:c>
      <x:c r="R139" s="46" t="n">
        <x:f>ROUND(M139+K139-L139,2)</x:f>
        <x:v>0.12</x:v>
      </x:c>
      <x:c r="S139" t="str">
        <x:f>IF(B139="","",IF(J139&lt;&gt;"None",J139,IF(Q139&gt;0,"Overtime",IF(G139&gt;E139,"Late",IF(H139&lt;F139,"Left Early","On Time")))))</x:f>
        <x:v>On Time</x:v>
      </x:c>
      <x:c r="T139" s="36" t="str"/>
    </x:row>
    <x:row r="140">
      <x:c r="A140" s="37" t="n">
        <x:v>46266</x:v>
      </x:c>
      <x:c r="B140" s="36" t="str">
        <x:v>EMP-006</x:v>
      </x:c>
      <x:c r="C140" s="54" t="str">
        <x:f>IFERROR(VLOOKUP(B140,Employees!$A$4:$K$9,2,FALSE),"")</x:f>
        <x:v>Ethan Brown</x:v>
      </x:c>
      <x:c r="D140" s="54" t="str">
        <x:f>TEXT(A140,"dddd")</x:f>
        <x:v>Tuesday</x:v>
      </x:c>
      <x:c r="E140" s="56" t="n">
        <x:f>IFERROR(VLOOKUP(D140,'Work Schedule'!$A$4:$F$10,2,FALSE),"")</x:f>
        <x:v>0.3333333333333333</x:v>
      </x:c>
      <x:c r="F140" s="56" t="n">
        <x:f>IFERROR(VLOOKUP(D140,'Work Schedule'!$A$4:$F$10,3,FALSE),"")</x:f>
        <x:v>0.7083333333333334</x:v>
      </x:c>
      <x:c r="G140" s="50" t="n">
        <x:v>0.3368055555555556</x:v>
      </x:c>
      <x:c r="H140" s="50" t="n">
        <x:v>0.7083333333333334</x:v>
      </x:c>
      <x:c r="I140" s="52" t="n">
        <x:v>1</x:v>
      </x:c>
      <x:c r="J140" s="36" t="str">
        <x:v>None</x:v>
      </x:c>
      <x:c r="K140" s="52" t="n">
        <x:v>0</x:v>
      </x:c>
      <x:c r="L140" s="58" t="n">
        <x:f>IFERROR(VLOOKUP(D140,'Work Schedule'!$A$4:$F$10,5,FALSE),0)</x:f>
        <x:v>8</x:v>
      </x:c>
      <x:c r="M140" s="46" t="n">
        <x:f>IF(OR(G140="",H140=""),0,ROUND(MAX(0,(H140-G140)*24-I140),2))</x:f>
        <x:v>7.92</x:v>
      </x:c>
      <x:c r="N140" s="60" t="n">
        <x:f>A140-WEEKDAY(A140,2)+1</x:f>
        <x:v>46265</x:v>
      </x:c>
      <x:c r="O140" s="58" t="n">
        <x:f>ROUND(SUMIFS($M$4:$M$400,$B$4:$B$400,B140,$N$4:$N$400,N140,$A$4:$A$400,"&lt;="&amp;A140),2)</x:f>
        <x:v>16.04</x:v>
      </x:c>
      <x:c r="P140" s="46" t="n">
        <x:f>ROUND(MAX(0,M140-Q140),2)</x:f>
        <x:v>7.92</x:v>
      </x:c>
      <x:c r="Q140" s="46" t="n">
        <x:f>ROUND(MAX(0,O140-Settings!$B$13)-MAX(0,O140-M140-Settings!$B$13),2)</x:f>
        <x:v>0</x:v>
      </x:c>
      <x:c r="R140" s="46" t="n">
        <x:f>ROUND(M140+K140-L140,2)</x:f>
        <x:v>-0.08</x:v>
      </x:c>
      <x:c r="S140" t="str">
        <x:f>IF(B140="","",IF(J140&lt;&gt;"None",J140,IF(Q140&gt;0,"Overtime",IF(G140&gt;E140,"Late",IF(H140&lt;F140,"Left Early","On Time")))))</x:f>
        <x:v>Late</x:v>
      </x:c>
      <x:c r="T140" s="36" t="str">
        <x:v>Arrived 5 minutes late.</x:v>
      </x:c>
    </x:row>
    <x:row r="141">
      <x:c r="A141" s="37" t="n">
        <x:v>46267</x:v>
      </x:c>
      <x:c r="B141" s="36" t="str">
        <x:v>EMP-006</x:v>
      </x:c>
      <x:c r="C141" s="54" t="str">
        <x:f>IFERROR(VLOOKUP(B141,Employees!$A$4:$K$9,2,FALSE),"")</x:f>
        <x:v>Ethan Brown</x:v>
      </x:c>
      <x:c r="D141" s="54" t="str">
        <x:f>TEXT(A141,"dddd")</x:f>
        <x:v>Wednesday</x:v>
      </x:c>
      <x:c r="E141" s="56" t="n">
        <x:f>IFERROR(VLOOKUP(D141,'Work Schedule'!$A$4:$F$10,2,FALSE),"")</x:f>
        <x:v>0.3333333333333333</x:v>
      </x:c>
      <x:c r="F141" s="56" t="n">
        <x:f>IFERROR(VLOOKUP(D141,'Work Schedule'!$A$4:$F$10,3,FALSE),"")</x:f>
        <x:v>0.7083333333333334</x:v>
      </x:c>
      <x:c r="G141" s="50" t="n">
        <x:v>0.3333333333333333</x:v>
      </x:c>
      <x:c r="H141" s="50" t="n">
        <x:v>0.7104166666666667</x:v>
      </x:c>
      <x:c r="I141" s="52" t="n">
        <x:v>1</x:v>
      </x:c>
      <x:c r="J141" s="36" t="str">
        <x:v>None</x:v>
      </x:c>
      <x:c r="K141" s="52" t="n">
        <x:v>0</x:v>
      </x:c>
      <x:c r="L141" s="58" t="n">
        <x:f>IFERROR(VLOOKUP(D141,'Work Schedule'!$A$4:$F$10,5,FALSE),0)</x:f>
        <x:v>8</x:v>
      </x:c>
      <x:c r="M141" s="46" t="n">
        <x:f>IF(OR(G141="",H141=""),0,ROUND(MAX(0,(H141-G141)*24-I141),2))</x:f>
        <x:v>8.05</x:v>
      </x:c>
      <x:c r="N141" s="60" t="n">
        <x:f>A141-WEEKDAY(A141,2)+1</x:f>
        <x:v>46265</x:v>
      </x:c>
      <x:c r="O141" s="58" t="n">
        <x:f>ROUND(SUMIFS($M$4:$M$400,$B$4:$B$400,B141,$N$4:$N$400,N141,$A$4:$A$400,"&lt;="&amp;A141),2)</x:f>
        <x:v>24.09</x:v>
      </x:c>
      <x:c r="P141" s="46" t="n">
        <x:f>ROUND(MAX(0,M141-Q141),2)</x:f>
        <x:v>8.05</x:v>
      </x:c>
      <x:c r="Q141" s="46" t="n">
        <x:f>ROUND(MAX(0,O141-Settings!$B$13)-MAX(0,O141-M141-Settings!$B$13),2)</x:f>
        <x:v>0</x:v>
      </x:c>
      <x:c r="R141" s="46" t="n">
        <x:f>ROUND(M141+K141-L141,2)</x:f>
        <x:v>0.05</x:v>
      </x:c>
      <x:c r="S141" t="str">
        <x:f>IF(B141="","",IF(J141&lt;&gt;"None",J141,IF(Q141&gt;0,"Overtime",IF(G141&gt;E141,"Late",IF(H141&lt;F141,"Left Early","On Time")))))</x:f>
        <x:v>On Time</x:v>
      </x:c>
      <x:c r="T141" s="36" t="str"/>
    </x:row>
    <x:row r="142">
      <x:c r="A142" s="37" t="n">
        <x:v>46268</x:v>
      </x:c>
      <x:c r="B142" s="36" t="str">
        <x:v>EMP-006</x:v>
      </x:c>
      <x:c r="C142" s="54" t="str">
        <x:f>IFERROR(VLOOKUP(B142,Employees!$A$4:$K$9,2,FALSE),"")</x:f>
        <x:v>Ethan Brown</x:v>
      </x:c>
      <x:c r="D142" s="54" t="str">
        <x:f>TEXT(A142,"dddd")</x:f>
        <x:v>Thursday</x:v>
      </x:c>
      <x:c r="E142" s="56" t="n">
        <x:f>IFERROR(VLOOKUP(D142,'Work Schedule'!$A$4:$F$10,2,FALSE),"")</x:f>
        <x:v>0.3333333333333333</x:v>
      </x:c>
      <x:c r="F142" s="56" t="n">
        <x:f>IFERROR(VLOOKUP(D142,'Work Schedule'!$A$4:$F$10,3,FALSE),"")</x:f>
        <x:v>0.7083333333333334</x:v>
      </x:c>
      <x:c r="G142" s="50" t="n">
        <x:v>0.33402777777777776</x:v>
      </x:c>
      <x:c r="H142" s="50" t="n">
        <x:v>0.7125</x:v>
      </x:c>
      <x:c r="I142" s="52" t="n">
        <x:v>1</x:v>
      </x:c>
      <x:c r="J142" s="36" t="str">
        <x:v>None</x:v>
      </x:c>
      <x:c r="K142" s="52" t="n">
        <x:v>0</x:v>
      </x:c>
      <x:c r="L142" s="58" t="n">
        <x:f>IFERROR(VLOOKUP(D142,'Work Schedule'!$A$4:$F$10,5,FALSE),0)</x:f>
        <x:v>8</x:v>
      </x:c>
      <x:c r="M142" s="46" t="n">
        <x:f>IF(OR(G142="",H142=""),0,ROUND(MAX(0,(H142-G142)*24-I142),2))</x:f>
        <x:v>8.08</x:v>
      </x:c>
      <x:c r="N142" s="60" t="n">
        <x:f>A142-WEEKDAY(A142,2)+1</x:f>
        <x:v>46265</x:v>
      </x:c>
      <x:c r="O142" s="58" t="n">
        <x:f>ROUND(SUMIFS($M$4:$M$400,$B$4:$B$400,B142,$N$4:$N$400,N142,$A$4:$A$400,"&lt;="&amp;A142),2)</x:f>
        <x:v>32.17</x:v>
      </x:c>
      <x:c r="P142" s="46" t="n">
        <x:f>ROUND(MAX(0,M142-Q142),2)</x:f>
        <x:v>8.08</x:v>
      </x:c>
      <x:c r="Q142" s="46" t="n">
        <x:f>ROUND(MAX(0,O142-Settings!$B$13)-MAX(0,O142-M142-Settings!$B$13),2)</x:f>
        <x:v>0</x:v>
      </x:c>
      <x:c r="R142" s="46" t="n">
        <x:f>ROUND(M142+K142-L142,2)</x:f>
        <x:v>0.08</x:v>
      </x:c>
      <x:c r="S142" t="str">
        <x:f>IF(B142="","",IF(J142&lt;&gt;"None",J142,IF(Q142&gt;0,"Overtime",IF(G142&gt;E142,"Late",IF(H142&lt;F142,"Left Early","On Time")))))</x:f>
        <x:v>Late</x:v>
      </x:c>
      <x:c r="T142" s="36" t="str"/>
    </x:row>
    <x:row r="143">
      <x:c r="A143" s="37" t="n">
        <x:v>46269</x:v>
      </x:c>
      <x:c r="B143" s="36" t="str">
        <x:v>EMP-006</x:v>
      </x:c>
      <x:c r="C143" s="54" t="str">
        <x:f>IFERROR(VLOOKUP(B143,Employees!$A$4:$K$9,2,FALSE),"")</x:f>
        <x:v>Ethan Brown</x:v>
      </x:c>
      <x:c r="D143" s="54" t="str">
        <x:f>TEXT(A143,"dddd")</x:f>
        <x:v>Friday</x:v>
      </x:c>
      <x:c r="E143" s="56" t="n">
        <x:f>IFERROR(VLOOKUP(D143,'Work Schedule'!$A$4:$F$10,2,FALSE),"")</x:f>
        <x:v>0.3333333333333333</x:v>
      </x:c>
      <x:c r="F143" s="56" t="n">
        <x:f>IFERROR(VLOOKUP(D143,'Work Schedule'!$A$4:$F$10,3,FALSE),"")</x:f>
        <x:v>0.7083333333333334</x:v>
      </x:c>
      <x:c r="G143" s="50" t="n">
        <x:v>0.3333333333333333</x:v>
      </x:c>
      <x:c r="H143" s="50" t="n">
        <x:v>0.7083333333333334</x:v>
      </x:c>
      <x:c r="I143" s="52" t="n">
        <x:v>1</x:v>
      </x:c>
      <x:c r="J143" s="36" t="str">
        <x:v>None</x:v>
      </x:c>
      <x:c r="K143" s="52" t="n">
        <x:v>0</x:v>
      </x:c>
      <x:c r="L143" s="58" t="n">
        <x:f>IFERROR(VLOOKUP(D143,'Work Schedule'!$A$4:$F$10,5,FALSE),0)</x:f>
        <x:v>8</x:v>
      </x:c>
      <x:c r="M143" s="46" t="n">
        <x:f>IF(OR(G143="",H143=""),0,ROUND(MAX(0,(H143-G143)*24-I143),2))</x:f>
        <x:v>8</x:v>
      </x:c>
      <x:c r="N143" s="60" t="n">
        <x:f>A143-WEEKDAY(A143,2)+1</x:f>
        <x:v>46265</x:v>
      </x:c>
      <x:c r="O143" s="58" t="n">
        <x:f>ROUND(SUMIFS($M$4:$M$400,$B$4:$B$400,B143,$N$4:$N$400,N143,$A$4:$A$400,"&lt;="&amp;A143),2)</x:f>
        <x:v>40.17</x:v>
      </x:c>
      <x:c r="P143" s="46" t="n">
        <x:f>ROUND(MAX(0,M143-Q143),2)</x:f>
        <x:v>8</x:v>
      </x:c>
      <x:c r="Q143" s="46" t="n">
        <x:f>ROUND(MAX(0,O143-Settings!$B$13)-MAX(0,O143-M143-Settings!$B$13),2)</x:f>
        <x:v>0</x:v>
      </x:c>
      <x:c r="R143" s="46" t="n">
        <x:f>ROUND(M143+K143-L143,2)</x:f>
        <x:v>0</x:v>
      </x:c>
      <x:c r="S143" t="str">
        <x:f>IF(B143="","",IF(J143&lt;&gt;"None",J143,IF(Q143&gt;0,"Overtime",IF(G143&gt;E143,"Late",IF(H143&lt;F143,"Left Early","On Time")))))</x:f>
        <x:v>On Time</x:v>
      </x:c>
      <x:c r="T143" s="36" t="str"/>
    </x:row>
    <x:row r="144">
      <x:c r="A144" s="37" t="n">
        <x:v>46270</x:v>
      </x:c>
      <x:c r="B144" s="36" t="str">
        <x:v>EMP-006</x:v>
      </x:c>
      <x:c r="C144" s="54" t="str">
        <x:f>IFERROR(VLOOKUP(B144,Employees!$A$4:$K$9,2,FALSE),"")</x:f>
        <x:v>Ethan Brown</x:v>
      </x:c>
      <x:c r="D144" s="54" t="str">
        <x:f>TEXT(A144,"dddd")</x:f>
        <x:v>Saturday</x:v>
      </x:c>
      <x:c r="E144" s="56" t="n">
        <x:f>IFERROR(VLOOKUP(D144,'Work Schedule'!$A$4:$F$10,2,FALSE),"")</x:f>
        <x:v>0.3333333333333333</x:v>
      </x:c>
      <x:c r="F144" s="56" t="n">
        <x:f>IFERROR(VLOOKUP(D144,'Work Schedule'!$A$4:$F$10,3,FALSE),"")</x:f>
        <x:v>0.5833333333333334</x:v>
      </x:c>
      <x:c r="G144" s="50" t="n">
        <x:v>0.3333333333333333</x:v>
      </x:c>
      <x:c r="H144" s="50" t="n">
        <x:v>0.5833333333333334</x:v>
      </x:c>
      <x:c r="I144" s="52" t="n">
        <x:v>1</x:v>
      </x:c>
      <x:c r="J144" s="36" t="str">
        <x:v>None</x:v>
      </x:c>
      <x:c r="K144" s="52" t="n">
        <x:v>0</x:v>
      </x:c>
      <x:c r="L144" s="58" t="n">
        <x:f>IFERROR(VLOOKUP(D144,'Work Schedule'!$A$4:$F$10,5,FALSE),0)</x:f>
        <x:v>5</x:v>
      </x:c>
      <x:c r="M144" s="46" t="n">
        <x:f>IF(OR(G144="",H144=""),0,ROUND(MAX(0,(H144-G144)*24-I144),2))</x:f>
        <x:v>5</x:v>
      </x:c>
      <x:c r="N144" s="60" t="n">
        <x:f>A144-WEEKDAY(A144,2)+1</x:f>
        <x:v>46265</x:v>
      </x:c>
      <x:c r="O144" s="58" t="n">
        <x:f>ROUND(SUMIFS($M$4:$M$400,$B$4:$B$400,B144,$N$4:$N$400,N144,$A$4:$A$400,"&lt;="&amp;A144),2)</x:f>
        <x:v>45.17</x:v>
      </x:c>
      <x:c r="P144" s="46" t="n">
        <x:f>ROUND(MAX(0,M144-Q144),2)</x:f>
        <x:v>3.83</x:v>
      </x:c>
      <x:c r="Q144" s="46" t="n">
        <x:f>ROUND(MAX(0,O144-Settings!$B$13)-MAX(0,O144-M144-Settings!$B$13),2)</x:f>
        <x:v>1.17</x:v>
      </x:c>
      <x:c r="R144" s="46" t="n">
        <x:f>ROUND(M144+K144-L144,2)</x:f>
        <x:v>0</x:v>
      </x:c>
      <x:c r="S144" t="str">
        <x:f>IF(B144="","",IF(J144&lt;&gt;"None",J144,IF(Q144&gt;0,"Overtime",IF(G144&gt;E144,"Late",IF(H144&lt;F144,"Left Early","On Time")))))</x:f>
        <x:v>Overtime</x:v>
      </x:c>
      <x:c r="T144" s="36" t="str"/>
    </x:row>
    <x:row r="145">
      <x:c r="A145" s="37" t="n">
        <x:v>46272</x:v>
      </x:c>
      <x:c r="B145" s="36" t="str">
        <x:v>EMP-006</x:v>
      </x:c>
      <x:c r="C145" s="54" t="str">
        <x:f>IFERROR(VLOOKUP(B145,Employees!$A$4:$K$9,2,FALSE),"")</x:f>
        <x:v>Ethan Brown</x:v>
      </x:c>
      <x:c r="D145" s="54" t="str">
        <x:f>TEXT(A145,"dddd")</x:f>
        <x:v>Monday</x:v>
      </x:c>
      <x:c r="E145" s="56" t="n">
        <x:f>IFERROR(VLOOKUP(D145,'Work Schedule'!$A$4:$F$10,2,FALSE),"")</x:f>
        <x:v>0.3333333333333333</x:v>
      </x:c>
      <x:c r="F145" s="56" t="n">
        <x:f>IFERROR(VLOOKUP(D145,'Work Schedule'!$A$4:$F$10,3,FALSE),"")</x:f>
        <x:v>0.7083333333333334</x:v>
      </x:c>
      <x:c r="G145" s="50"/>
      <x:c r="H145" s="50"/>
      <x:c r="I145" s="52" t="n">
        <x:v>0</x:v>
      </x:c>
      <x:c r="J145" s="36" t="str">
        <x:v>Public Holiday</x:v>
      </x:c>
      <x:c r="K145" s="52" t="n">
        <x:v>8</x:v>
      </x:c>
      <x:c r="L145" s="58" t="n">
        <x:f>IFERROR(VLOOKUP(D145,'Work Schedule'!$A$4:$F$10,5,FALSE),0)</x:f>
        <x:v>8</x:v>
      </x:c>
      <x:c r="M145" s="46" t="n">
        <x:f>IF(OR(G145="",H145=""),0,ROUND(MAX(0,(H145-G145)*24-I145),2))</x:f>
        <x:v>0</x:v>
      </x:c>
      <x:c r="N145" s="60" t="n">
        <x:f>A145-WEEKDAY(A145,2)+1</x:f>
        <x:v>46272</x:v>
      </x:c>
      <x:c r="O145" s="58" t="n">
        <x:f>ROUND(SUMIFS($M$4:$M$400,$B$4:$B$400,B145,$N$4:$N$400,N145,$A$4:$A$400,"&lt;="&amp;A145),2)</x:f>
        <x:v>0</x:v>
      </x:c>
      <x:c r="P145" s="46" t="n">
        <x:f>ROUND(MAX(0,M145-Q145),2)</x:f>
        <x:v>0</x:v>
      </x:c>
      <x:c r="Q145" s="46" t="n">
        <x:f>ROUND(MAX(0,O145-Settings!$B$13)-MAX(0,O145-M145-Settings!$B$13),2)</x:f>
        <x:v>0</x:v>
      </x:c>
      <x:c r="R145" s="46" t="n">
        <x:f>ROUND(M145+K145-L145,2)</x:f>
        <x:v>0</x:v>
      </x:c>
      <x:c r="S145" t="str">
        <x:f>IF(B145="","",IF(J145&lt;&gt;"None",J145,IF(Q145&gt;0,"Overtime",IF(G145&gt;E145,"Late",IF(H145&lt;F145,"Left Early","On Time")))))</x:f>
        <x:v>Public Holiday</x:v>
      </x:c>
      <x:c r="T145" s="36" t="str">
        <x:v>Labour Day</x:v>
      </x:c>
    </x:row>
    <x:row r="146">
      <x:c r="A146" s="37" t="n">
        <x:v>46273</x:v>
      </x:c>
      <x:c r="B146" s="36" t="str">
        <x:v>EMP-006</x:v>
      </x:c>
      <x:c r="C146" s="54" t="str">
        <x:f>IFERROR(VLOOKUP(B146,Employees!$A$4:$K$9,2,FALSE),"")</x:f>
        <x:v>Ethan Brown</x:v>
      </x:c>
      <x:c r="D146" s="54" t="str">
        <x:f>TEXT(A146,"dddd")</x:f>
        <x:v>Tuesday</x:v>
      </x:c>
      <x:c r="E146" s="56" t="n">
        <x:f>IFERROR(VLOOKUP(D146,'Work Schedule'!$A$4:$F$10,2,FALSE),"")</x:f>
        <x:v>0.3333333333333333</x:v>
      </x:c>
      <x:c r="F146" s="56" t="n">
        <x:f>IFERROR(VLOOKUP(D146,'Work Schedule'!$A$4:$F$10,3,FALSE),"")</x:f>
        <x:v>0.7083333333333334</x:v>
      </x:c>
      <x:c r="G146" s="50" t="n">
        <x:v>0.33402777777777776</x:v>
      </x:c>
      <x:c r="H146" s="50" t="n">
        <x:v>0.7083333333333334</x:v>
      </x:c>
      <x:c r="I146" s="52" t="n">
        <x:v>1</x:v>
      </x:c>
      <x:c r="J146" s="36" t="str">
        <x:v>None</x:v>
      </x:c>
      <x:c r="K146" s="52" t="n">
        <x:v>0</x:v>
      </x:c>
      <x:c r="L146" s="58" t="n">
        <x:f>IFERROR(VLOOKUP(D146,'Work Schedule'!$A$4:$F$10,5,FALSE),0)</x:f>
        <x:v>8</x:v>
      </x:c>
      <x:c r="M146" s="46" t="n">
        <x:f>IF(OR(G146="",H146=""),0,ROUND(MAX(0,(H146-G146)*24-I146),2))</x:f>
        <x:v>7.98</x:v>
      </x:c>
      <x:c r="N146" s="60" t="n">
        <x:f>A146-WEEKDAY(A146,2)+1</x:f>
        <x:v>46272</x:v>
      </x:c>
      <x:c r="O146" s="58" t="n">
        <x:f>ROUND(SUMIFS($M$4:$M$400,$B$4:$B$400,B146,$N$4:$N$400,N146,$A$4:$A$400,"&lt;="&amp;A146),2)</x:f>
        <x:v>7.98</x:v>
      </x:c>
      <x:c r="P146" s="46" t="n">
        <x:f>ROUND(MAX(0,M146-Q146),2)</x:f>
        <x:v>7.98</x:v>
      </x:c>
      <x:c r="Q146" s="46" t="n">
        <x:f>ROUND(MAX(0,O146-Settings!$B$13)-MAX(0,O146-M146-Settings!$B$13),2)</x:f>
        <x:v>0</x:v>
      </x:c>
      <x:c r="R146" s="46" t="n">
        <x:f>ROUND(M146+K146-L146,2)</x:f>
        <x:v>-0.02</x:v>
      </x:c>
      <x:c r="S146" t="str">
        <x:f>IF(B146="","",IF(J146&lt;&gt;"None",J146,IF(Q146&gt;0,"Overtime",IF(G146&gt;E146,"Late",IF(H146&lt;F146,"Left Early","On Time")))))</x:f>
        <x:v>Late</x:v>
      </x:c>
      <x:c r="T146" s="36" t="str"/>
    </x:row>
    <x:row r="147">
      <x:c r="A147" s="37" t="n">
        <x:v>46274</x:v>
      </x:c>
      <x:c r="B147" s="36" t="str">
        <x:v>EMP-006</x:v>
      </x:c>
      <x:c r="C147" s="54" t="str">
        <x:f>IFERROR(VLOOKUP(B147,Employees!$A$4:$K$9,2,FALSE),"")</x:f>
        <x:v>Ethan Brown</x:v>
      </x:c>
      <x:c r="D147" s="54" t="str">
        <x:f>TEXT(A147,"dddd")</x:f>
        <x:v>Wednesday</x:v>
      </x:c>
      <x:c r="E147" s="56" t="n">
        <x:f>IFERROR(VLOOKUP(D147,'Work Schedule'!$A$4:$F$10,2,FALSE),"")</x:f>
        <x:v>0.3333333333333333</x:v>
      </x:c>
      <x:c r="F147" s="56" t="n">
        <x:f>IFERROR(VLOOKUP(D147,'Work Schedule'!$A$4:$F$10,3,FALSE),"")</x:f>
        <x:v>0.7083333333333334</x:v>
      </x:c>
      <x:c r="G147" s="50" t="n">
        <x:v>0.33055555555555555</x:v>
      </x:c>
      <x:c r="H147" s="50" t="n">
        <x:v>0.7083333333333334</x:v>
      </x:c>
      <x:c r="I147" s="52" t="n">
        <x:v>1</x:v>
      </x:c>
      <x:c r="J147" s="36" t="str">
        <x:v>None</x:v>
      </x:c>
      <x:c r="K147" s="52" t="n">
        <x:v>0</x:v>
      </x:c>
      <x:c r="L147" s="58" t="n">
        <x:f>IFERROR(VLOOKUP(D147,'Work Schedule'!$A$4:$F$10,5,FALSE),0)</x:f>
        <x:v>8</x:v>
      </x:c>
      <x:c r="M147" s="46" t="n">
        <x:f>IF(OR(G147="",H147=""),0,ROUND(MAX(0,(H147-G147)*24-I147),2))</x:f>
        <x:v>8.07</x:v>
      </x:c>
      <x:c r="N147" s="60" t="n">
        <x:f>A147-WEEKDAY(A147,2)+1</x:f>
        <x:v>46272</x:v>
      </x:c>
      <x:c r="O147" s="58" t="n">
        <x:f>ROUND(SUMIFS($M$4:$M$400,$B$4:$B$400,B147,$N$4:$N$400,N147,$A$4:$A$400,"&lt;="&amp;A147),2)</x:f>
        <x:v>16.05</x:v>
      </x:c>
      <x:c r="P147" s="46" t="n">
        <x:f>ROUND(MAX(0,M147-Q147),2)</x:f>
        <x:v>8.07</x:v>
      </x:c>
      <x:c r="Q147" s="46" t="n">
        <x:f>ROUND(MAX(0,O147-Settings!$B$13)-MAX(0,O147-M147-Settings!$B$13),2)</x:f>
        <x:v>0</x:v>
      </x:c>
      <x:c r="R147" s="46" t="n">
        <x:f>ROUND(M147+K147-L147,2)</x:f>
        <x:v>0.07</x:v>
      </x:c>
      <x:c r="S147" t="str">
        <x:f>IF(B147="","",IF(J147&lt;&gt;"None",J147,IF(Q147&gt;0,"Overtime",IF(G147&gt;E147,"Late",IF(H147&lt;F147,"Left Early","On Time")))))</x:f>
        <x:v>On Time</x:v>
      </x:c>
      <x:c r="T147" s="36" t="str"/>
    </x:row>
    <x:row r="148">
      <x:c r="A148" s="37" t="n">
        <x:v>46275</x:v>
      </x:c>
      <x:c r="B148" s="36" t="str">
        <x:v>EMP-006</x:v>
      </x:c>
      <x:c r="C148" s="54" t="str">
        <x:f>IFERROR(VLOOKUP(B148,Employees!$A$4:$K$9,2,FALSE),"")</x:f>
        <x:v>Ethan Brown</x:v>
      </x:c>
      <x:c r="D148" s="54" t="str">
        <x:f>TEXT(A148,"dddd")</x:f>
        <x:v>Thursday</x:v>
      </x:c>
      <x:c r="E148" s="56" t="n">
        <x:f>IFERROR(VLOOKUP(D148,'Work Schedule'!$A$4:$F$10,2,FALSE),"")</x:f>
        <x:v>0.3333333333333333</x:v>
      </x:c>
      <x:c r="F148" s="56" t="n">
        <x:f>IFERROR(VLOOKUP(D148,'Work Schedule'!$A$4:$F$10,3,FALSE),"")</x:f>
        <x:v>0.7083333333333334</x:v>
      </x:c>
      <x:c r="G148" s="50" t="n">
        <x:v>0.3326388888888889</x:v>
      </x:c>
      <x:c r="H148" s="50" t="n">
        <x:v>0.7069444444444445</x:v>
      </x:c>
      <x:c r="I148" s="52" t="n">
        <x:v>1</x:v>
      </x:c>
      <x:c r="J148" s="36" t="str">
        <x:v>None</x:v>
      </x:c>
      <x:c r="K148" s="52" t="n">
        <x:v>0</x:v>
      </x:c>
      <x:c r="L148" s="58" t="n">
        <x:f>IFERROR(VLOOKUP(D148,'Work Schedule'!$A$4:$F$10,5,FALSE),0)</x:f>
        <x:v>8</x:v>
      </x:c>
      <x:c r="M148" s="46" t="n">
        <x:f>IF(OR(G148="",H148=""),0,ROUND(MAX(0,(H148-G148)*24-I148),2))</x:f>
        <x:v>7.98</x:v>
      </x:c>
      <x:c r="N148" s="60" t="n">
        <x:f>A148-WEEKDAY(A148,2)+1</x:f>
        <x:v>46272</x:v>
      </x:c>
      <x:c r="O148" s="58" t="n">
        <x:f>ROUND(SUMIFS($M$4:$M$400,$B$4:$B$400,B148,$N$4:$N$400,N148,$A$4:$A$400,"&lt;="&amp;A148),2)</x:f>
        <x:v>24.03</x:v>
      </x:c>
      <x:c r="P148" s="46" t="n">
        <x:f>ROUND(MAX(0,M148-Q148),2)</x:f>
        <x:v>7.98</x:v>
      </x:c>
      <x:c r="Q148" s="46" t="n">
        <x:f>ROUND(MAX(0,O148-Settings!$B$13)-MAX(0,O148-M148-Settings!$B$13),2)</x:f>
        <x:v>0</x:v>
      </x:c>
      <x:c r="R148" s="46" t="n">
        <x:f>ROUND(M148+K148-L148,2)</x:f>
        <x:v>-0.02</x:v>
      </x:c>
      <x:c r="S148" t="str">
        <x:f>IF(B148="","",IF(J148&lt;&gt;"None",J148,IF(Q148&gt;0,"Overtime",IF(G148&gt;E148,"Late",IF(H148&lt;F148,"Left Early","On Time")))))</x:f>
        <x:v>Left Early</x:v>
      </x:c>
      <x:c r="T148" s="36" t="str"/>
    </x:row>
    <x:row r="149">
      <x:c r="A149" s="37" t="n">
        <x:v>46276</x:v>
      </x:c>
      <x:c r="B149" s="36" t="str">
        <x:v>EMP-006</x:v>
      </x:c>
      <x:c r="C149" s="54" t="str">
        <x:f>IFERROR(VLOOKUP(B149,Employees!$A$4:$K$9,2,FALSE),"")</x:f>
        <x:v>Ethan Brown</x:v>
      </x:c>
      <x:c r="D149" s="54" t="str">
        <x:f>TEXT(A149,"dddd")</x:f>
        <x:v>Friday</x:v>
      </x:c>
      <x:c r="E149" s="56" t="n">
        <x:f>IFERROR(VLOOKUP(D149,'Work Schedule'!$A$4:$F$10,2,FALSE),"")</x:f>
        <x:v>0.3333333333333333</x:v>
      </x:c>
      <x:c r="F149" s="56" t="n">
        <x:f>IFERROR(VLOOKUP(D149,'Work Schedule'!$A$4:$F$10,3,FALSE),"")</x:f>
        <x:v>0.7083333333333334</x:v>
      </x:c>
      <x:c r="G149" s="50" t="n">
        <x:v>0.3326388888888889</x:v>
      </x:c>
      <x:c r="H149" s="50" t="n">
        <x:v>0.7118055555555556</x:v>
      </x:c>
      <x:c r="I149" s="52" t="n">
        <x:v>1</x:v>
      </x:c>
      <x:c r="J149" s="36" t="str">
        <x:v>None</x:v>
      </x:c>
      <x:c r="K149" s="52" t="n">
        <x:v>0</x:v>
      </x:c>
      <x:c r="L149" s="58" t="n">
        <x:f>IFERROR(VLOOKUP(D149,'Work Schedule'!$A$4:$F$10,5,FALSE),0)</x:f>
        <x:v>8</x:v>
      </x:c>
      <x:c r="M149" s="46" t="n">
        <x:f>IF(OR(G149="",H149=""),0,ROUND(MAX(0,(H149-G149)*24-I149),2))</x:f>
        <x:v>8.1</x:v>
      </x:c>
      <x:c r="N149" s="60" t="n">
        <x:f>A149-WEEKDAY(A149,2)+1</x:f>
        <x:v>46272</x:v>
      </x:c>
      <x:c r="O149" s="58" t="n">
        <x:f>ROUND(SUMIFS($M$4:$M$400,$B$4:$B$400,B149,$N$4:$N$400,N149,$A$4:$A$400,"&lt;="&amp;A149),2)</x:f>
        <x:v>32.13</x:v>
      </x:c>
      <x:c r="P149" s="46" t="n">
        <x:f>ROUND(MAX(0,M149-Q149),2)</x:f>
        <x:v>8.1</x:v>
      </x:c>
      <x:c r="Q149" s="46" t="n">
        <x:f>ROUND(MAX(0,O149-Settings!$B$13)-MAX(0,O149-M149-Settings!$B$13),2)</x:f>
        <x:v>0</x:v>
      </x:c>
      <x:c r="R149" s="46" t="n">
        <x:f>ROUND(M149+K149-L149,2)</x:f>
        <x:v>0.1</x:v>
      </x:c>
      <x:c r="S149" t="str">
        <x:f>IF(B149="","",IF(J149&lt;&gt;"None",J149,IF(Q149&gt;0,"Overtime",IF(G149&gt;E149,"Late",IF(H149&lt;F149,"Left Early","On Time")))))</x:f>
        <x:v>On Time</x:v>
      </x:c>
      <x:c r="T149" s="36" t="str"/>
    </x:row>
    <x:row r="150">
      <x:c r="A150" s="37" t="n">
        <x:v>46277</x:v>
      </x:c>
      <x:c r="B150" s="36" t="str">
        <x:v>EMP-006</x:v>
      </x:c>
      <x:c r="C150" s="54" t="str">
        <x:f>IFERROR(VLOOKUP(B150,Employees!$A$4:$K$9,2,FALSE),"")</x:f>
        <x:v>Ethan Brown</x:v>
      </x:c>
      <x:c r="D150" s="54" t="str">
        <x:f>TEXT(A150,"dddd")</x:f>
        <x:v>Saturday</x:v>
      </x:c>
      <x:c r="E150" s="56" t="n">
        <x:f>IFERROR(VLOOKUP(D150,'Work Schedule'!$A$4:$F$10,2,FALSE),"")</x:f>
        <x:v>0.3333333333333333</x:v>
      </x:c>
      <x:c r="F150" s="56" t="n">
        <x:f>IFERROR(VLOOKUP(D150,'Work Schedule'!$A$4:$F$10,3,FALSE),"")</x:f>
        <x:v>0.5833333333333334</x:v>
      </x:c>
      <x:c r="G150" s="50" t="n">
        <x:v>0.33402777777777776</x:v>
      </x:c>
      <x:c r="H150" s="50" t="n">
        <x:v>0.6041666666666666</x:v>
      </x:c>
      <x:c r="I150" s="52" t="n">
        <x:v>1</x:v>
      </x:c>
      <x:c r="J150" s="36" t="str">
        <x:v>None</x:v>
      </x:c>
      <x:c r="K150" s="52" t="n">
        <x:v>0</x:v>
      </x:c>
      <x:c r="L150" s="58" t="n">
        <x:f>IFERROR(VLOOKUP(D150,'Work Schedule'!$A$4:$F$10,5,FALSE),0)</x:f>
        <x:v>5</x:v>
      </x:c>
      <x:c r="M150" s="46" t="n">
        <x:f>IF(OR(G150="",H150=""),0,ROUND(MAX(0,(H150-G150)*24-I150),2))</x:f>
        <x:v>5.48</x:v>
      </x:c>
      <x:c r="N150" s="60" t="n">
        <x:f>A150-WEEKDAY(A150,2)+1</x:f>
        <x:v>46272</x:v>
      </x:c>
      <x:c r="O150" s="58" t="n">
        <x:f>ROUND(SUMIFS($M$4:$M$400,$B$4:$B$400,B150,$N$4:$N$400,N150,$A$4:$A$400,"&lt;="&amp;A150),2)</x:f>
        <x:v>37.61</x:v>
      </x:c>
      <x:c r="P150" s="46" t="n">
        <x:f>ROUND(MAX(0,M150-Q150),2)</x:f>
        <x:v>5.48</x:v>
      </x:c>
      <x:c r="Q150" s="46" t="n">
        <x:f>ROUND(MAX(0,O150-Settings!$B$13)-MAX(0,O150-M150-Settings!$B$13),2)</x:f>
        <x:v>0</x:v>
      </x:c>
      <x:c r="R150" s="46" t="n">
        <x:f>ROUND(M150+K150-L150,2)</x:f>
        <x:v>0.48</x:v>
      </x:c>
      <x:c r="S150" t="str">
        <x:f>IF(B150="","",IF(J150&lt;&gt;"None",J150,IF(Q150&gt;0,"Overtime",IF(G150&gt;E150,"Late",IF(H150&lt;F150,"Left Early","On Time")))))</x:f>
        <x:v>Late</x:v>
      </x:c>
      <x:c r="T150" s="36" t="str">
        <x:v>Customer follow-up required 30 extra minutes.</x:v>
      </x:c>
    </x:row>
    <x:row r="151">
      <x:c r="A151" s="37" t="n">
        <x:v>46279</x:v>
      </x:c>
      <x:c r="B151" s="36" t="str">
        <x:v>EMP-006</x:v>
      </x:c>
      <x:c r="C151" s="54" t="str">
        <x:f>IFERROR(VLOOKUP(B151,Employees!$A$4:$K$9,2,FALSE),"")</x:f>
        <x:v>Ethan Brown</x:v>
      </x:c>
      <x:c r="D151" s="54" t="str">
        <x:f>TEXT(A151,"dddd")</x:f>
        <x:v>Monday</x:v>
      </x:c>
      <x:c r="E151" s="56" t="n">
        <x:f>IFERROR(VLOOKUP(D151,'Work Schedule'!$A$4:$F$10,2,FALSE),"")</x:f>
        <x:v>0.3333333333333333</x:v>
      </x:c>
      <x:c r="F151" s="56" t="n">
        <x:f>IFERROR(VLOOKUP(D151,'Work Schedule'!$A$4:$F$10,3,FALSE),"")</x:f>
        <x:v>0.7083333333333334</x:v>
      </x:c>
      <x:c r="G151" s="50" t="n">
        <x:v>0.3347222222222222</x:v>
      </x:c>
      <x:c r="H151" s="50" t="n">
        <x:v>0.7083333333333334</x:v>
      </x:c>
      <x:c r="I151" s="52" t="n">
        <x:v>1</x:v>
      </x:c>
      <x:c r="J151" s="36" t="str">
        <x:v>None</x:v>
      </x:c>
      <x:c r="K151" s="52" t="n">
        <x:v>0</x:v>
      </x:c>
      <x:c r="L151" s="58" t="n">
        <x:f>IFERROR(VLOOKUP(D151,'Work Schedule'!$A$4:$F$10,5,FALSE),0)</x:f>
        <x:v>8</x:v>
      </x:c>
      <x:c r="M151" s="46" t="n">
        <x:f>IF(OR(G151="",H151=""),0,ROUND(MAX(0,(H151-G151)*24-I151),2))</x:f>
        <x:v>7.97</x:v>
      </x:c>
      <x:c r="N151" s="60" t="n">
        <x:f>A151-WEEKDAY(A151,2)+1</x:f>
        <x:v>46279</x:v>
      </x:c>
      <x:c r="O151" s="58" t="n">
        <x:f>ROUND(SUMIFS($M$4:$M$400,$B$4:$B$400,B151,$N$4:$N$400,N151,$A$4:$A$400,"&lt;="&amp;A151),2)</x:f>
        <x:v>7.97</x:v>
      </x:c>
      <x:c r="P151" s="46" t="n">
        <x:f>ROUND(MAX(0,M151-Q151),2)</x:f>
        <x:v>7.97</x:v>
      </x:c>
      <x:c r="Q151" s="46" t="n">
        <x:f>ROUND(MAX(0,O151-Settings!$B$13)-MAX(0,O151-M151-Settings!$B$13),2)</x:f>
        <x:v>0</x:v>
      </x:c>
      <x:c r="R151" s="46" t="n">
        <x:f>ROUND(M151+K151-L151,2)</x:f>
        <x:v>-0.03</x:v>
      </x:c>
      <x:c r="S151" t="str">
        <x:f>IF(B151="","",IF(J151&lt;&gt;"None",J151,IF(Q151&gt;0,"Overtime",IF(G151&gt;E151,"Late",IF(H151&lt;F151,"Left Early","On Time")))))</x:f>
        <x:v>Late</x:v>
      </x:c>
      <x:c r="T151" s="36" t="str"/>
    </x:row>
    <x:row r="152">
      <x:c r="A152" s="37" t="n">
        <x:v>46280</x:v>
      </x:c>
      <x:c r="B152" s="36" t="str">
        <x:v>EMP-006</x:v>
      </x:c>
      <x:c r="C152" s="54" t="str">
        <x:f>IFERROR(VLOOKUP(B152,Employees!$A$4:$K$9,2,FALSE),"")</x:f>
        <x:v>Ethan Brown</x:v>
      </x:c>
      <x:c r="D152" s="54" t="str">
        <x:f>TEXT(A152,"dddd")</x:f>
        <x:v>Tuesday</x:v>
      </x:c>
      <x:c r="E152" s="56" t="n">
        <x:f>IFERROR(VLOOKUP(D152,'Work Schedule'!$A$4:$F$10,2,FALSE),"")</x:f>
        <x:v>0.3333333333333333</x:v>
      </x:c>
      <x:c r="F152" s="56" t="n">
        <x:f>IFERROR(VLOOKUP(D152,'Work Schedule'!$A$4:$F$10,3,FALSE),"")</x:f>
        <x:v>0.7083333333333334</x:v>
      </x:c>
      <x:c r="G152" s="50" t="n">
        <x:v>0.3326388888888889</x:v>
      </x:c>
      <x:c r="H152" s="50" t="n">
        <x:v>0.7076388888888889</x:v>
      </x:c>
      <x:c r="I152" s="52" t="n">
        <x:v>1</x:v>
      </x:c>
      <x:c r="J152" s="36" t="str">
        <x:v>None</x:v>
      </x:c>
      <x:c r="K152" s="52" t="n">
        <x:v>0</x:v>
      </x:c>
      <x:c r="L152" s="58" t="n">
        <x:f>IFERROR(VLOOKUP(D152,'Work Schedule'!$A$4:$F$10,5,FALSE),0)</x:f>
        <x:v>8</x:v>
      </x:c>
      <x:c r="M152" s="46" t="n">
        <x:f>IF(OR(G152="",H152=""),0,ROUND(MAX(0,(H152-G152)*24-I152),2))</x:f>
        <x:v>8</x:v>
      </x:c>
      <x:c r="N152" s="60" t="n">
        <x:f>A152-WEEKDAY(A152,2)+1</x:f>
        <x:v>46279</x:v>
      </x:c>
      <x:c r="O152" s="58" t="n">
        <x:f>ROUND(SUMIFS($M$4:$M$400,$B$4:$B$400,B152,$N$4:$N$400,N152,$A$4:$A$400,"&lt;="&amp;A152),2)</x:f>
        <x:v>15.97</x:v>
      </x:c>
      <x:c r="P152" s="46" t="n">
        <x:f>ROUND(MAX(0,M152-Q152),2)</x:f>
        <x:v>8</x:v>
      </x:c>
      <x:c r="Q152" s="46" t="n">
        <x:f>ROUND(MAX(0,O152-Settings!$B$13)-MAX(0,O152-M152-Settings!$B$13),2)</x:f>
        <x:v>0</x:v>
      </x:c>
      <x:c r="R152" s="46" t="n">
        <x:f>ROUND(M152+K152-L152,2)</x:f>
        <x:v>0</x:v>
      </x:c>
      <x:c r="S152" t="str">
        <x:f>IF(B152="","",IF(J152&lt;&gt;"None",J152,IF(Q152&gt;0,"Overtime",IF(G152&gt;E152,"Late",IF(H152&lt;F152,"Left Early","On Time")))))</x:f>
        <x:v>Left Early</x:v>
      </x:c>
      <x:c r="T152" s="36" t="str"/>
    </x:row>
    <x:row r="153">
      <x:c r="A153" s="37" t="n">
        <x:v>46281</x:v>
      </x:c>
      <x:c r="B153" s="36" t="str">
        <x:v>EMP-006</x:v>
      </x:c>
      <x:c r="C153" s="54" t="str">
        <x:f>IFERROR(VLOOKUP(B153,Employees!$A$4:$K$9,2,FALSE),"")</x:f>
        <x:v>Ethan Brown</x:v>
      </x:c>
      <x:c r="D153" s="54" t="str">
        <x:f>TEXT(A153,"dddd")</x:f>
        <x:v>Wednesday</x:v>
      </x:c>
      <x:c r="E153" s="56" t="n">
        <x:f>IFERROR(VLOOKUP(D153,'Work Schedule'!$A$4:$F$10,2,FALSE),"")</x:f>
        <x:v>0.3333333333333333</x:v>
      </x:c>
      <x:c r="F153" s="56" t="n">
        <x:f>IFERROR(VLOOKUP(D153,'Work Schedule'!$A$4:$F$10,3,FALSE),"")</x:f>
        <x:v>0.7083333333333334</x:v>
      </x:c>
      <x:c r="G153" s="50" t="n">
        <x:v>0.3333333333333333</x:v>
      </x:c>
      <x:c r="H153" s="50" t="n">
        <x:v>0.7118055555555556</x:v>
      </x:c>
      <x:c r="I153" s="52" t="n">
        <x:v>1</x:v>
      </x:c>
      <x:c r="J153" s="36" t="str">
        <x:v>None</x:v>
      </x:c>
      <x:c r="K153" s="52" t="n">
        <x:v>0</x:v>
      </x:c>
      <x:c r="L153" s="58" t="n">
        <x:f>IFERROR(VLOOKUP(D153,'Work Schedule'!$A$4:$F$10,5,FALSE),0)</x:f>
        <x:v>8</x:v>
      </x:c>
      <x:c r="M153" s="46" t="n">
        <x:f>IF(OR(G153="",H153=""),0,ROUND(MAX(0,(H153-G153)*24-I153),2))</x:f>
        <x:v>8.08</x:v>
      </x:c>
      <x:c r="N153" s="60" t="n">
        <x:f>A153-WEEKDAY(A153,2)+1</x:f>
        <x:v>46279</x:v>
      </x:c>
      <x:c r="O153" s="58" t="n">
        <x:f>ROUND(SUMIFS($M$4:$M$400,$B$4:$B$400,B153,$N$4:$N$400,N153,$A$4:$A$400,"&lt;="&amp;A153),2)</x:f>
        <x:v>24.05</x:v>
      </x:c>
      <x:c r="P153" s="46" t="n">
        <x:f>ROUND(MAX(0,M153-Q153),2)</x:f>
        <x:v>8.08</x:v>
      </x:c>
      <x:c r="Q153" s="46" t="n">
        <x:f>ROUND(MAX(0,O153-Settings!$B$13)-MAX(0,O153-M153-Settings!$B$13),2)</x:f>
        <x:v>0</x:v>
      </x:c>
      <x:c r="R153" s="46" t="n">
        <x:f>ROUND(M153+K153-L153,2)</x:f>
        <x:v>0.08</x:v>
      </x:c>
      <x:c r="S153" t="str">
        <x:f>IF(B153="","",IF(J153&lt;&gt;"None",J153,IF(Q153&gt;0,"Overtime",IF(G153&gt;E153,"Late",IF(H153&lt;F153,"Left Early","On Time")))))</x:f>
        <x:v>On Time</x:v>
      </x:c>
      <x:c r="T153" s="36" t="str"/>
    </x:row>
    <x:row r="154">
      <x:c r="A154" s="37" t="n">
        <x:v>46282</x:v>
      </x:c>
      <x:c r="B154" s="36" t="str">
        <x:v>EMP-006</x:v>
      </x:c>
      <x:c r="C154" s="54" t="str">
        <x:f>IFERROR(VLOOKUP(B154,Employees!$A$4:$K$9,2,FALSE),"")</x:f>
        <x:v>Ethan Brown</x:v>
      </x:c>
      <x:c r="D154" s="54" t="str">
        <x:f>TEXT(A154,"dddd")</x:f>
        <x:v>Thursday</x:v>
      </x:c>
      <x:c r="E154" s="56" t="n">
        <x:f>IFERROR(VLOOKUP(D154,'Work Schedule'!$A$4:$F$10,2,FALSE),"")</x:f>
        <x:v>0.3333333333333333</x:v>
      </x:c>
      <x:c r="F154" s="56" t="n">
        <x:f>IFERROR(VLOOKUP(D154,'Work Schedule'!$A$4:$F$10,3,FALSE),"")</x:f>
        <x:v>0.7083333333333334</x:v>
      </x:c>
      <x:c r="G154" s="50" t="n">
        <x:v>0.33194444444444443</x:v>
      </x:c>
      <x:c r="H154" s="50" t="n">
        <x:v>0.7104166666666667</x:v>
      </x:c>
      <x:c r="I154" s="52" t="n">
        <x:v>1</x:v>
      </x:c>
      <x:c r="J154" s="36" t="str">
        <x:v>None</x:v>
      </x:c>
      <x:c r="K154" s="52" t="n">
        <x:v>0</x:v>
      </x:c>
      <x:c r="L154" s="58" t="n">
        <x:f>IFERROR(VLOOKUP(D154,'Work Schedule'!$A$4:$F$10,5,FALSE),0)</x:f>
        <x:v>8</x:v>
      </x:c>
      <x:c r="M154" s="46" t="n">
        <x:f>IF(OR(G154="",H154=""),0,ROUND(MAX(0,(H154-G154)*24-I154),2))</x:f>
        <x:v>8.08</x:v>
      </x:c>
      <x:c r="N154" s="60" t="n">
        <x:f>A154-WEEKDAY(A154,2)+1</x:f>
        <x:v>46279</x:v>
      </x:c>
      <x:c r="O154" s="58" t="n">
        <x:f>ROUND(SUMIFS($M$4:$M$400,$B$4:$B$400,B154,$N$4:$N$400,N154,$A$4:$A$400,"&lt;="&amp;A154),2)</x:f>
        <x:v>32.13</x:v>
      </x:c>
      <x:c r="P154" s="46" t="n">
        <x:f>ROUND(MAX(0,M154-Q154),2)</x:f>
        <x:v>8.08</x:v>
      </x:c>
      <x:c r="Q154" s="46" t="n">
        <x:f>ROUND(MAX(0,O154-Settings!$B$13)-MAX(0,O154-M154-Settings!$B$13),2)</x:f>
        <x:v>0</x:v>
      </x:c>
      <x:c r="R154" s="46" t="n">
        <x:f>ROUND(M154+K154-L154,2)</x:f>
        <x:v>0.08</x:v>
      </x:c>
      <x:c r="S154" t="str">
        <x:f>IF(B154="","",IF(J154&lt;&gt;"None",J154,IF(Q154&gt;0,"Overtime",IF(G154&gt;E154,"Late",IF(H154&lt;F154,"Left Early","On Time")))))</x:f>
        <x:v>On Time</x:v>
      </x:c>
      <x:c r="T154" s="36" t="str"/>
    </x:row>
    <x:row r="155">
      <x:c r="A155" s="37" t="n">
        <x:v>46283</x:v>
      </x:c>
      <x:c r="B155" s="36" t="str">
        <x:v>EMP-006</x:v>
      </x:c>
      <x:c r="C155" s="54" t="str">
        <x:f>IFERROR(VLOOKUP(B155,Employees!$A$4:$K$9,2,FALSE),"")</x:f>
        <x:v>Ethan Brown</x:v>
      </x:c>
      <x:c r="D155" s="54" t="str">
        <x:f>TEXT(A155,"dddd")</x:f>
        <x:v>Friday</x:v>
      </x:c>
      <x:c r="E155" s="56" t="n">
        <x:f>IFERROR(VLOOKUP(D155,'Work Schedule'!$A$4:$F$10,2,FALSE),"")</x:f>
        <x:v>0.3333333333333333</x:v>
      </x:c>
      <x:c r="F155" s="56" t="n">
        <x:f>IFERROR(VLOOKUP(D155,'Work Schedule'!$A$4:$F$10,3,FALSE),"")</x:f>
        <x:v>0.7083333333333334</x:v>
      </x:c>
      <x:c r="G155" s="50" t="n">
        <x:v>0.33125</x:v>
      </x:c>
      <x:c r="H155" s="50" t="n">
        <x:v>0.7104166666666667</x:v>
      </x:c>
      <x:c r="I155" s="52" t="n">
        <x:v>1</x:v>
      </x:c>
      <x:c r="J155" s="36" t="str">
        <x:v>None</x:v>
      </x:c>
      <x:c r="K155" s="52" t="n">
        <x:v>0</x:v>
      </x:c>
      <x:c r="L155" s="58" t="n">
        <x:f>IFERROR(VLOOKUP(D155,'Work Schedule'!$A$4:$F$10,5,FALSE),0)</x:f>
        <x:v>8</x:v>
      </x:c>
      <x:c r="M155" s="46" t="n">
        <x:f>IF(OR(G155="",H155=""),0,ROUND(MAX(0,(H155-G155)*24-I155),2))</x:f>
        <x:v>8.1</x:v>
      </x:c>
      <x:c r="N155" s="60" t="n">
        <x:f>A155-WEEKDAY(A155,2)+1</x:f>
        <x:v>46279</x:v>
      </x:c>
      <x:c r="O155" s="58" t="n">
        <x:f>ROUND(SUMIFS($M$4:$M$400,$B$4:$B$400,B155,$N$4:$N$400,N155,$A$4:$A$400,"&lt;="&amp;A155),2)</x:f>
        <x:v>40.23</x:v>
      </x:c>
      <x:c r="P155" s="46" t="n">
        <x:f>ROUND(MAX(0,M155-Q155),2)</x:f>
        <x:v>8.1</x:v>
      </x:c>
      <x:c r="Q155" s="46" t="n">
        <x:f>ROUND(MAX(0,O155-Settings!$B$13)-MAX(0,O155-M155-Settings!$B$13),2)</x:f>
        <x:v>0</x:v>
      </x:c>
      <x:c r="R155" s="46" t="n">
        <x:f>ROUND(M155+K155-L155,2)</x:f>
        <x:v>0.1</x:v>
      </x:c>
      <x:c r="S155" t="str">
        <x:f>IF(B155="","",IF(J155&lt;&gt;"None",J155,IF(Q155&gt;0,"Overtime",IF(G155&gt;E155,"Late",IF(H155&lt;F155,"Left Early","On Time")))))</x:f>
        <x:v>On Time</x:v>
      </x:c>
      <x:c r="T155" s="36" t="str"/>
    </x:row>
    <x:row r="156">
      <x:c r="A156" s="37" t="n">
        <x:v>46284</x:v>
      </x:c>
      <x:c r="B156" s="36" t="str">
        <x:v>EMP-006</x:v>
      </x:c>
      <x:c r="C156" s="54" t="str">
        <x:f>IFERROR(VLOOKUP(B156,Employees!$A$4:$K$9,2,FALSE),"")</x:f>
        <x:v>Ethan Brown</x:v>
      </x:c>
      <x:c r="D156" s="54" t="str">
        <x:f>TEXT(A156,"dddd")</x:f>
        <x:v>Saturday</x:v>
      </x:c>
      <x:c r="E156" s="56" t="n">
        <x:f>IFERROR(VLOOKUP(D156,'Work Schedule'!$A$4:$F$10,2,FALSE),"")</x:f>
        <x:v>0.3333333333333333</x:v>
      </x:c>
      <x:c r="F156" s="56" t="n">
        <x:f>IFERROR(VLOOKUP(D156,'Work Schedule'!$A$4:$F$10,3,FALSE),"")</x:f>
        <x:v>0.5833333333333334</x:v>
      </x:c>
      <x:c r="G156" s="50" t="n">
        <x:v>0.3326388888888889</x:v>
      </x:c>
      <x:c r="H156" s="50" t="n">
        <x:v>0.5833333333333334</x:v>
      </x:c>
      <x:c r="I156" s="52" t="n">
        <x:v>1</x:v>
      </x:c>
      <x:c r="J156" s="36" t="str">
        <x:v>None</x:v>
      </x:c>
      <x:c r="K156" s="52" t="n">
        <x:v>0</x:v>
      </x:c>
      <x:c r="L156" s="58" t="n">
        <x:f>IFERROR(VLOOKUP(D156,'Work Schedule'!$A$4:$F$10,5,FALSE),0)</x:f>
        <x:v>5</x:v>
      </x:c>
      <x:c r="M156" s="46" t="n">
        <x:f>IF(OR(G156="",H156=""),0,ROUND(MAX(0,(H156-G156)*24-I156),2))</x:f>
        <x:v>5.02</x:v>
      </x:c>
      <x:c r="N156" s="60" t="n">
        <x:f>A156-WEEKDAY(A156,2)+1</x:f>
        <x:v>46279</x:v>
      </x:c>
      <x:c r="O156" s="58" t="n">
        <x:f>ROUND(SUMIFS($M$4:$M$400,$B$4:$B$400,B156,$N$4:$N$400,N156,$A$4:$A$400,"&lt;="&amp;A156),2)</x:f>
        <x:v>45.25</x:v>
      </x:c>
      <x:c r="P156" s="46" t="n">
        <x:f>ROUND(MAX(0,M156-Q156),2)</x:f>
        <x:v>3.77</x:v>
      </x:c>
      <x:c r="Q156" s="46" t="n">
        <x:f>ROUND(MAX(0,O156-Settings!$B$13)-MAX(0,O156-M156-Settings!$B$13),2)</x:f>
        <x:v>1.25</x:v>
      </x:c>
      <x:c r="R156" s="46" t="n">
        <x:f>ROUND(M156+K156-L156,2)</x:f>
        <x:v>0.02</x:v>
      </x:c>
      <x:c r="S156" t="str">
        <x:f>IF(B156="","",IF(J156&lt;&gt;"None",J156,IF(Q156&gt;0,"Overtime",IF(G156&gt;E156,"Late",IF(H156&lt;F156,"Left Early","On Time")))))</x:f>
        <x:v>Overtime</x:v>
      </x:c>
      <x:c r="T156" s="36" t="str"/>
    </x:row>
    <x:row r="157">
      <x:c r="A157" s="37" t="n">
        <x:v>46286</x:v>
      </x:c>
      <x:c r="B157" s="36" t="str">
        <x:v>EMP-006</x:v>
      </x:c>
      <x:c r="C157" s="54" t="str">
        <x:f>IFERROR(VLOOKUP(B157,Employees!$A$4:$K$9,2,FALSE),"")</x:f>
        <x:v>Ethan Brown</x:v>
      </x:c>
      <x:c r="D157" s="54" t="str">
        <x:f>TEXT(A157,"dddd")</x:f>
        <x:v>Monday</x:v>
      </x:c>
      <x:c r="E157" s="56" t="n">
        <x:f>IFERROR(VLOOKUP(D157,'Work Schedule'!$A$4:$F$10,2,FALSE),"")</x:f>
        <x:v>0.3333333333333333</x:v>
      </x:c>
      <x:c r="F157" s="56" t="n">
        <x:f>IFERROR(VLOOKUP(D157,'Work Schedule'!$A$4:$F$10,3,FALSE),"")</x:f>
        <x:v>0.7083333333333334</x:v>
      </x:c>
      <x:c r="G157" s="50" t="n">
        <x:v>0.33055555555555555</x:v>
      </x:c>
      <x:c r="H157" s="50" t="n">
        <x:v>0.7083333333333334</x:v>
      </x:c>
      <x:c r="I157" s="52" t="n">
        <x:v>1</x:v>
      </x:c>
      <x:c r="J157" s="36" t="str">
        <x:v>None</x:v>
      </x:c>
      <x:c r="K157" s="52" t="n">
        <x:v>0</x:v>
      </x:c>
      <x:c r="L157" s="58" t="n">
        <x:f>IFERROR(VLOOKUP(D157,'Work Schedule'!$A$4:$F$10,5,FALSE),0)</x:f>
        <x:v>8</x:v>
      </x:c>
      <x:c r="M157" s="46" t="n">
        <x:f>IF(OR(G157="",H157=""),0,ROUND(MAX(0,(H157-G157)*24-I157),2))</x:f>
        <x:v>8.07</x:v>
      </x:c>
      <x:c r="N157" s="60" t="n">
        <x:f>A157-WEEKDAY(A157,2)+1</x:f>
        <x:v>46286</x:v>
      </x:c>
      <x:c r="O157" s="58" t="n">
        <x:f>ROUND(SUMIFS($M$4:$M$400,$B$4:$B$400,B157,$N$4:$N$400,N157,$A$4:$A$400,"&lt;="&amp;A157),2)</x:f>
        <x:v>8.07</x:v>
      </x:c>
      <x:c r="P157" s="46" t="n">
        <x:f>ROUND(MAX(0,M157-Q157),2)</x:f>
        <x:v>8.07</x:v>
      </x:c>
      <x:c r="Q157" s="46" t="n">
        <x:f>ROUND(MAX(0,O157-Settings!$B$13)-MAX(0,O157-M157-Settings!$B$13),2)</x:f>
        <x:v>0</x:v>
      </x:c>
      <x:c r="R157" s="46" t="n">
        <x:f>ROUND(M157+K157-L157,2)</x:f>
        <x:v>0.07</x:v>
      </x:c>
      <x:c r="S157" t="str">
        <x:f>IF(B157="","",IF(J157&lt;&gt;"None",J157,IF(Q157&gt;0,"Overtime",IF(G157&gt;E157,"Late",IF(H157&lt;F157,"Left Early","On Time")))))</x:f>
        <x:v>On Time</x:v>
      </x:c>
      <x:c r="T157" s="36" t="str"/>
    </x:row>
    <x:row r="158">
      <x:c r="A158" s="37" t="n">
        <x:v>46287</x:v>
      </x:c>
      <x:c r="B158" s="36" t="str">
        <x:v>EMP-006</x:v>
      </x:c>
      <x:c r="C158" s="54" t="str">
        <x:f>IFERROR(VLOOKUP(B158,Employees!$A$4:$K$9,2,FALSE),"")</x:f>
        <x:v>Ethan Brown</x:v>
      </x:c>
      <x:c r="D158" s="54" t="str">
        <x:f>TEXT(A158,"dddd")</x:f>
        <x:v>Tuesday</x:v>
      </x:c>
      <x:c r="E158" s="56" t="n">
        <x:f>IFERROR(VLOOKUP(D158,'Work Schedule'!$A$4:$F$10,2,FALSE),"")</x:f>
        <x:v>0.3333333333333333</x:v>
      </x:c>
      <x:c r="F158" s="56" t="n">
        <x:f>IFERROR(VLOOKUP(D158,'Work Schedule'!$A$4:$F$10,3,FALSE),"")</x:f>
        <x:v>0.7083333333333334</x:v>
      </x:c>
      <x:c r="G158" s="50" t="n">
        <x:v>0.33402777777777776</x:v>
      </x:c>
      <x:c r="H158" s="50" t="n">
        <x:v>0.7090277777777778</x:v>
      </x:c>
      <x:c r="I158" s="52" t="n">
        <x:v>1</x:v>
      </x:c>
      <x:c r="J158" s="36" t="str">
        <x:v>None</x:v>
      </x:c>
      <x:c r="K158" s="52" t="n">
        <x:v>0</x:v>
      </x:c>
      <x:c r="L158" s="58" t="n">
        <x:f>IFERROR(VLOOKUP(D158,'Work Schedule'!$A$4:$F$10,5,FALSE),0)</x:f>
        <x:v>8</x:v>
      </x:c>
      <x:c r="M158" s="46" t="n">
        <x:f>IF(OR(G158="",H158=""),0,ROUND(MAX(0,(H158-G158)*24-I158),2))</x:f>
        <x:v>8</x:v>
      </x:c>
      <x:c r="N158" s="60" t="n">
        <x:f>A158-WEEKDAY(A158,2)+1</x:f>
        <x:v>46286</x:v>
      </x:c>
      <x:c r="O158" s="58" t="n">
        <x:f>ROUND(SUMIFS($M$4:$M$400,$B$4:$B$400,B158,$N$4:$N$400,N158,$A$4:$A$400,"&lt;="&amp;A158),2)</x:f>
        <x:v>16.07</x:v>
      </x:c>
      <x:c r="P158" s="46" t="n">
        <x:f>ROUND(MAX(0,M158-Q158),2)</x:f>
        <x:v>8</x:v>
      </x:c>
      <x:c r="Q158" s="46" t="n">
        <x:f>ROUND(MAX(0,O158-Settings!$B$13)-MAX(0,O158-M158-Settings!$B$13),2)</x:f>
        <x:v>0</x:v>
      </x:c>
      <x:c r="R158" s="46" t="n">
        <x:f>ROUND(M158+K158-L158,2)</x:f>
        <x:v>0</x:v>
      </x:c>
      <x:c r="S158" t="str">
        <x:f>IF(B158="","",IF(J158&lt;&gt;"None",J158,IF(Q158&gt;0,"Overtime",IF(G158&gt;E158,"Late",IF(H158&lt;F158,"Left Early","On Time")))))</x:f>
        <x:v>Late</x:v>
      </x:c>
      <x:c r="T158" s="36" t="str"/>
    </x:row>
    <x:row r="159">
      <x:c r="A159" s="37" t="n">
        <x:v>46288</x:v>
      </x:c>
      <x:c r="B159" s="36" t="str">
        <x:v>EMP-006</x:v>
      </x:c>
      <x:c r="C159" s="54" t="str">
        <x:f>IFERROR(VLOOKUP(B159,Employees!$A$4:$K$9,2,FALSE),"")</x:f>
        <x:v>Ethan Brown</x:v>
      </x:c>
      <x:c r="D159" s="54" t="str">
        <x:f>TEXT(A159,"dddd")</x:f>
        <x:v>Wednesday</x:v>
      </x:c>
      <x:c r="E159" s="56" t="n">
        <x:f>IFERROR(VLOOKUP(D159,'Work Schedule'!$A$4:$F$10,2,FALSE),"")</x:f>
        <x:v>0.3333333333333333</x:v>
      </x:c>
      <x:c r="F159" s="56" t="n">
        <x:f>IFERROR(VLOOKUP(D159,'Work Schedule'!$A$4:$F$10,3,FALSE),"")</x:f>
        <x:v>0.7083333333333334</x:v>
      </x:c>
      <x:c r="G159" s="50" t="n">
        <x:v>0.33541666666666664</x:v>
      </x:c>
      <x:c r="H159" s="50" t="n">
        <x:v>0.7104166666666667</x:v>
      </x:c>
      <x:c r="I159" s="52" t="n">
        <x:v>1</x:v>
      </x:c>
      <x:c r="J159" s="36" t="str">
        <x:v>None</x:v>
      </x:c>
      <x:c r="K159" s="52" t="n">
        <x:v>0</x:v>
      </x:c>
      <x:c r="L159" s="58" t="n">
        <x:f>IFERROR(VLOOKUP(D159,'Work Schedule'!$A$4:$F$10,5,FALSE),0)</x:f>
        <x:v>8</x:v>
      </x:c>
      <x:c r="M159" s="46" t="n">
        <x:f>IF(OR(G159="",H159=""),0,ROUND(MAX(0,(H159-G159)*24-I159),2))</x:f>
        <x:v>8</x:v>
      </x:c>
      <x:c r="N159" s="60" t="n">
        <x:f>A159-WEEKDAY(A159,2)+1</x:f>
        <x:v>46286</x:v>
      </x:c>
      <x:c r="O159" s="58" t="n">
        <x:f>ROUND(SUMIFS($M$4:$M$400,$B$4:$B$400,B159,$N$4:$N$400,N159,$A$4:$A$400,"&lt;="&amp;A159),2)</x:f>
        <x:v>24.07</x:v>
      </x:c>
      <x:c r="P159" s="46" t="n">
        <x:f>ROUND(MAX(0,M159-Q159),2)</x:f>
        <x:v>8</x:v>
      </x:c>
      <x:c r="Q159" s="46" t="n">
        <x:f>ROUND(MAX(0,O159-Settings!$B$13)-MAX(0,O159-M159-Settings!$B$13),2)</x:f>
        <x:v>0</x:v>
      </x:c>
      <x:c r="R159" s="46" t="n">
        <x:f>ROUND(M159+K159-L159,2)</x:f>
        <x:v>0</x:v>
      </x:c>
      <x:c r="S159" t="str">
        <x:f>IF(B159="","",IF(J159&lt;&gt;"None",J159,IF(Q159&gt;0,"Overtime",IF(G159&gt;E159,"Late",IF(H159&lt;F159,"Left Early","On Time")))))</x:f>
        <x:v>Late</x:v>
      </x:c>
      <x:c r="T159" s="36" t="str">
        <x:v>Arrived 3 minutes late.</x:v>
      </x:c>
    </x:row>
    <x:row r="160">
      <x:c r="A160" s="37" t="n">
        <x:v>46289</x:v>
      </x:c>
      <x:c r="B160" s="36" t="str">
        <x:v>EMP-006</x:v>
      </x:c>
      <x:c r="C160" s="54" t="str">
        <x:f>IFERROR(VLOOKUP(B160,Employees!$A$4:$K$9,2,FALSE),"")</x:f>
        <x:v>Ethan Brown</x:v>
      </x:c>
      <x:c r="D160" s="54" t="str">
        <x:f>TEXT(A160,"dddd")</x:f>
        <x:v>Thursday</x:v>
      </x:c>
      <x:c r="E160" s="56" t="n">
        <x:f>IFERROR(VLOOKUP(D160,'Work Schedule'!$A$4:$F$10,2,FALSE),"")</x:f>
        <x:v>0.3333333333333333</x:v>
      </x:c>
      <x:c r="F160" s="56" t="n">
        <x:f>IFERROR(VLOOKUP(D160,'Work Schedule'!$A$4:$F$10,3,FALSE),"")</x:f>
        <x:v>0.7083333333333334</x:v>
      </x:c>
      <x:c r="G160" s="50" t="n">
        <x:v>0.3333333333333333</x:v>
      </x:c>
      <x:c r="H160" s="50" t="n">
        <x:v>0.7090277777777778</x:v>
      </x:c>
      <x:c r="I160" s="52" t="n">
        <x:v>1</x:v>
      </x:c>
      <x:c r="J160" s="36" t="str">
        <x:v>None</x:v>
      </x:c>
      <x:c r="K160" s="52" t="n">
        <x:v>0</x:v>
      </x:c>
      <x:c r="L160" s="58" t="n">
        <x:f>IFERROR(VLOOKUP(D160,'Work Schedule'!$A$4:$F$10,5,FALSE),0)</x:f>
        <x:v>8</x:v>
      </x:c>
      <x:c r="M160" s="46" t="n">
        <x:f>IF(OR(G160="",H160=""),0,ROUND(MAX(0,(H160-G160)*24-I160),2))</x:f>
        <x:v>8.02</x:v>
      </x:c>
      <x:c r="N160" s="60" t="n">
        <x:f>A160-WEEKDAY(A160,2)+1</x:f>
        <x:v>46286</x:v>
      </x:c>
      <x:c r="O160" s="58" t="n">
        <x:f>ROUND(SUMIFS($M$4:$M$400,$B$4:$B$400,B160,$N$4:$N$400,N160,$A$4:$A$400,"&lt;="&amp;A160),2)</x:f>
        <x:v>32.09</x:v>
      </x:c>
      <x:c r="P160" s="46" t="n">
        <x:f>ROUND(MAX(0,M160-Q160),2)</x:f>
        <x:v>8.02</x:v>
      </x:c>
      <x:c r="Q160" s="46" t="n">
        <x:f>ROUND(MAX(0,O160-Settings!$B$13)-MAX(0,O160-M160-Settings!$B$13),2)</x:f>
        <x:v>0</x:v>
      </x:c>
      <x:c r="R160" s="46" t="n">
        <x:f>ROUND(M160+K160-L160,2)</x:f>
        <x:v>0.02</x:v>
      </x:c>
      <x:c r="S160" t="str">
        <x:f>IF(B160="","",IF(J160&lt;&gt;"None",J160,IF(Q160&gt;0,"Overtime",IF(G160&gt;E160,"Late",IF(H160&lt;F160,"Left Early","On Time")))))</x:f>
        <x:v>On Time</x:v>
      </x:c>
      <x:c r="T160" s="36" t="str"/>
    </x:row>
    <x:row r="161">
      <x:c r="A161" s="37" t="n">
        <x:v>46290</x:v>
      </x:c>
      <x:c r="B161" s="36" t="str">
        <x:v>EMP-006</x:v>
      </x:c>
      <x:c r="C161" s="54" t="str">
        <x:f>IFERROR(VLOOKUP(B161,Employees!$A$4:$K$9,2,FALSE),"")</x:f>
        <x:v>Ethan Brown</x:v>
      </x:c>
      <x:c r="D161" s="54" t="str">
        <x:f>TEXT(A161,"dddd")</x:f>
        <x:v>Friday</x:v>
      </x:c>
      <x:c r="E161" s="56" t="n">
        <x:f>IFERROR(VLOOKUP(D161,'Work Schedule'!$A$4:$F$10,2,FALSE),"")</x:f>
        <x:v>0.3333333333333333</x:v>
      </x:c>
      <x:c r="F161" s="56" t="n">
        <x:f>IFERROR(VLOOKUP(D161,'Work Schedule'!$A$4:$F$10,3,FALSE),"")</x:f>
        <x:v>0.7083333333333334</x:v>
      </x:c>
      <x:c r="G161" s="50" t="n">
        <x:v>0.3333333333333333</x:v>
      </x:c>
      <x:c r="H161" s="50" t="n">
        <x:v>0.5</x:v>
      </x:c>
      <x:c r="I161" s="52" t="n">
        <x:v>0</x:v>
      </x:c>
      <x:c r="J161" s="36" t="str">
        <x:v>Unpaid Leave</x:v>
      </x:c>
      <x:c r="K161" s="52" t="n">
        <x:v>4</x:v>
      </x:c>
      <x:c r="L161" s="58" t="n">
        <x:f>IFERROR(VLOOKUP(D161,'Work Schedule'!$A$4:$F$10,5,FALSE),0)</x:f>
        <x:v>8</x:v>
      </x:c>
      <x:c r="M161" s="46" t="n">
        <x:f>IF(OR(G161="",H161=""),0,ROUND(MAX(0,(H161-G161)*24-I161),2))</x:f>
        <x:v>4</x:v>
      </x:c>
      <x:c r="N161" s="60" t="n">
        <x:f>A161-WEEKDAY(A161,2)+1</x:f>
        <x:v>46286</x:v>
      </x:c>
      <x:c r="O161" s="58" t="n">
        <x:f>ROUND(SUMIFS($M$4:$M$400,$B$4:$B$400,B161,$N$4:$N$400,N161,$A$4:$A$400,"&lt;="&amp;A161),2)</x:f>
        <x:v>36.09</x:v>
      </x:c>
      <x:c r="P161" s="46" t="n">
        <x:f>ROUND(MAX(0,M161-Q161),2)</x:f>
        <x:v>4</x:v>
      </x:c>
      <x:c r="Q161" s="46" t="n">
        <x:f>ROUND(MAX(0,O161-Settings!$B$13)-MAX(0,O161-M161-Settings!$B$13),2)</x:f>
        <x:v>0</x:v>
      </x:c>
      <x:c r="R161" s="46" t="n">
        <x:f>ROUND(M161+K161-L161,2)</x:f>
        <x:v>0</x:v>
      </x:c>
      <x:c r="S161" t="str">
        <x:f>IF(B161="","",IF(J161&lt;&gt;"None",J161,IF(Q161&gt;0,"Overtime",IF(G161&gt;E161,"Late",IF(H161&lt;F161,"Left Early","On Time")))))</x:f>
        <x:v>Unpaid Leave</x:v>
      </x:c>
      <x:c r="T161" s="36" t="str">
        <x:v>Approved half-day unpaid leave (afternoon).</x:v>
      </x:c>
    </x:row>
    <x:row r="162">
      <x:c r="A162" s="37" t="n">
        <x:v>46291</x:v>
      </x:c>
      <x:c r="B162" s="36" t="str">
        <x:v>EMP-006</x:v>
      </x:c>
      <x:c r="C162" s="54" t="str">
        <x:f>IFERROR(VLOOKUP(B162,Employees!$A$4:$K$9,2,FALSE),"")</x:f>
        <x:v>Ethan Brown</x:v>
      </x:c>
      <x:c r="D162" s="54" t="str">
        <x:f>TEXT(A162,"dddd")</x:f>
        <x:v>Saturday</x:v>
      </x:c>
      <x:c r="E162" s="56" t="n">
        <x:f>IFERROR(VLOOKUP(D162,'Work Schedule'!$A$4:$F$10,2,FALSE),"")</x:f>
        <x:v>0.3333333333333333</x:v>
      </x:c>
      <x:c r="F162" s="56" t="n">
        <x:f>IFERROR(VLOOKUP(D162,'Work Schedule'!$A$4:$F$10,3,FALSE),"")</x:f>
        <x:v>0.5833333333333334</x:v>
      </x:c>
      <x:c r="G162" s="50" t="n">
        <x:v>0.33055555555555555</x:v>
      </x:c>
      <x:c r="H162" s="50" t="n">
        <x:v>0.5840277777777778</x:v>
      </x:c>
      <x:c r="I162" s="52" t="n">
        <x:v>1</x:v>
      </x:c>
      <x:c r="J162" s="36" t="str">
        <x:v>None</x:v>
      </x:c>
      <x:c r="K162" s="52" t="n">
        <x:v>0</x:v>
      </x:c>
      <x:c r="L162" s="58" t="n">
        <x:f>IFERROR(VLOOKUP(D162,'Work Schedule'!$A$4:$F$10,5,FALSE),0)</x:f>
        <x:v>5</x:v>
      </x:c>
      <x:c r="M162" s="46" t="n">
        <x:f>IF(OR(G162="",H162=""),0,ROUND(MAX(0,(H162-G162)*24-I162),2))</x:f>
        <x:v>5.08</x:v>
      </x:c>
      <x:c r="N162" s="60" t="n">
        <x:f>A162-WEEKDAY(A162,2)+1</x:f>
        <x:v>46286</x:v>
      </x:c>
      <x:c r="O162" s="58" t="n">
        <x:f>ROUND(SUMIFS($M$4:$M$400,$B$4:$B$400,B162,$N$4:$N$400,N162,$A$4:$A$400,"&lt;="&amp;A162),2)</x:f>
        <x:v>41.17</x:v>
      </x:c>
      <x:c r="P162" s="46" t="n">
        <x:f>ROUND(MAX(0,M162-Q162),2)</x:f>
        <x:v>5.08</x:v>
      </x:c>
      <x:c r="Q162" s="46" t="n">
        <x:f>ROUND(MAX(0,O162-Settings!$B$13)-MAX(0,O162-M162-Settings!$B$13),2)</x:f>
        <x:v>0</x:v>
      </x:c>
      <x:c r="R162" s="46" t="n">
        <x:f>ROUND(M162+K162-L162,2)</x:f>
        <x:v>0.08</x:v>
      </x:c>
      <x:c r="S162" t="str">
        <x:f>IF(B162="","",IF(J162&lt;&gt;"None",J162,IF(Q162&gt;0,"Overtime",IF(G162&gt;E162,"Late",IF(H162&lt;F162,"Left Early","On Time")))))</x:f>
        <x:v>On Time</x:v>
      </x:c>
      <x:c r="T162" s="36" t="str"/>
    </x:row>
    <x:row r="163">
      <x:c r="A163" s="37" t="n">
        <x:v>46293</x:v>
      </x:c>
      <x:c r="B163" s="36" t="str">
        <x:v>EMP-006</x:v>
      </x:c>
      <x:c r="C163" s="54" t="str">
        <x:f>IFERROR(VLOOKUP(B163,Employees!$A$4:$K$9,2,FALSE),"")</x:f>
        <x:v>Ethan Brown</x:v>
      </x:c>
      <x:c r="D163" s="54" t="str">
        <x:f>TEXT(A163,"dddd")</x:f>
        <x:v>Monday</x:v>
      </x:c>
      <x:c r="E163" s="56" t="n">
        <x:f>IFERROR(VLOOKUP(D163,'Work Schedule'!$A$4:$F$10,2,FALSE),"")</x:f>
        <x:v>0.3333333333333333</x:v>
      </x:c>
      <x:c r="F163" s="56" t="n">
        <x:f>IFERROR(VLOOKUP(D163,'Work Schedule'!$A$4:$F$10,3,FALSE),"")</x:f>
        <x:v>0.7083333333333334</x:v>
      </x:c>
      <x:c r="G163" s="50" t="n">
        <x:v>0.33194444444444443</x:v>
      </x:c>
      <x:c r="H163" s="50" t="n">
        <x:v>0.7118055555555556</x:v>
      </x:c>
      <x:c r="I163" s="52" t="n">
        <x:v>1</x:v>
      </x:c>
      <x:c r="J163" s="36" t="str">
        <x:v>None</x:v>
      </x:c>
      <x:c r="K163" s="52" t="n">
        <x:v>0</x:v>
      </x:c>
      <x:c r="L163" s="58" t="n">
        <x:f>IFERROR(VLOOKUP(D163,'Work Schedule'!$A$4:$F$10,5,FALSE),0)</x:f>
        <x:v>8</x:v>
      </x:c>
      <x:c r="M163" s="46" t="n">
        <x:f>IF(OR(G163="",H163=""),0,ROUND(MAX(0,(H163-G163)*24-I163),2))</x:f>
        <x:v>8.12</x:v>
      </x:c>
      <x:c r="N163" s="60" t="n">
        <x:f>A163-WEEKDAY(A163,2)+1</x:f>
        <x:v>46293</x:v>
      </x:c>
      <x:c r="O163" s="58" t="n">
        <x:f>ROUND(SUMIFS($M$4:$M$400,$B$4:$B$400,B163,$N$4:$N$400,N163,$A$4:$A$400,"&lt;="&amp;A163),2)</x:f>
        <x:v>8.12</x:v>
      </x:c>
      <x:c r="P163" s="46" t="n">
        <x:f>ROUND(MAX(0,M163-Q163),2)</x:f>
        <x:v>8.12</x:v>
      </x:c>
      <x:c r="Q163" s="46" t="n">
        <x:f>ROUND(MAX(0,O163-Settings!$B$13)-MAX(0,O163-M163-Settings!$B$13),2)</x:f>
        <x:v>0</x:v>
      </x:c>
      <x:c r="R163" s="46" t="n">
        <x:f>ROUND(M163+K163-L163,2)</x:f>
        <x:v>0.12</x:v>
      </x:c>
      <x:c r="S163" t="str">
        <x:f>IF(B163="","",IF(J163&lt;&gt;"None",J163,IF(Q163&gt;0,"Overtime",IF(G163&gt;E163,"Late",IF(H163&lt;F163,"Left Early","On Time")))))</x:f>
        <x:v>On Time</x:v>
      </x:c>
      <x:c r="T163" s="36" t="str"/>
    </x:row>
    <x:row r="164">
      <x:c r="A164" s="37" t="n">
        <x:v>46294</x:v>
      </x:c>
      <x:c r="B164" s="36" t="str">
        <x:v>EMP-006</x:v>
      </x:c>
      <x:c r="C164" s="54" t="str">
        <x:f>IFERROR(VLOOKUP(B164,Employees!$A$4:$K$9,2,FALSE),"")</x:f>
        <x:v>Ethan Brown</x:v>
      </x:c>
      <x:c r="D164" s="54" t="str">
        <x:f>TEXT(A164,"dddd")</x:f>
        <x:v>Tuesday</x:v>
      </x:c>
      <x:c r="E164" s="56" t="n">
        <x:f>IFERROR(VLOOKUP(D164,'Work Schedule'!$A$4:$F$10,2,FALSE),"")</x:f>
        <x:v>0.3333333333333333</x:v>
      </x:c>
      <x:c r="F164" s="56" t="n">
        <x:f>IFERROR(VLOOKUP(D164,'Work Schedule'!$A$4:$F$10,3,FALSE),"")</x:f>
        <x:v>0.7083333333333334</x:v>
      </x:c>
      <x:c r="G164" s="50" t="n">
        <x:v>0.3333333333333333</x:v>
      </x:c>
      <x:c r="H164" s="50" t="n">
        <x:v>0.7090277777777778</x:v>
      </x:c>
      <x:c r="I164" s="52" t="n">
        <x:v>1</x:v>
      </x:c>
      <x:c r="J164" s="36" t="str">
        <x:v>None</x:v>
      </x:c>
      <x:c r="K164" s="52" t="n">
        <x:v>0</x:v>
      </x:c>
      <x:c r="L164" s="58" t="n">
        <x:f>IFERROR(VLOOKUP(D164,'Work Schedule'!$A$4:$F$10,5,FALSE),0)</x:f>
        <x:v>8</x:v>
      </x:c>
      <x:c r="M164" s="46" t="n">
        <x:f>IF(OR(G164="",H164=""),0,ROUND(MAX(0,(H164-G164)*24-I164),2))</x:f>
        <x:v>8.02</x:v>
      </x:c>
      <x:c r="N164" s="60" t="n">
        <x:f>A164-WEEKDAY(A164,2)+1</x:f>
        <x:v>46293</x:v>
      </x:c>
      <x:c r="O164" s="58" t="n">
        <x:f>ROUND(SUMIFS($M$4:$M$400,$B$4:$B$400,B164,$N$4:$N$400,N164,$A$4:$A$400,"&lt;="&amp;A164),2)</x:f>
        <x:v>16.14</x:v>
      </x:c>
      <x:c r="P164" s="46" t="n">
        <x:f>ROUND(MAX(0,M164-Q164),2)</x:f>
        <x:v>8.02</x:v>
      </x:c>
      <x:c r="Q164" s="46" t="n">
        <x:f>ROUND(MAX(0,O164-Settings!$B$13)-MAX(0,O164-M164-Settings!$B$13),2)</x:f>
        <x:v>0</x:v>
      </x:c>
      <x:c r="R164" s="46" t="n">
        <x:f>ROUND(M164+K164-L164,2)</x:f>
        <x:v>0.02</x:v>
      </x:c>
      <x:c r="S164" t="str">
        <x:f>IF(B164="","",IF(J164&lt;&gt;"None",J164,IF(Q164&gt;0,"Overtime",IF(G164&gt;E164,"Late",IF(H164&lt;F164,"Left Early","On Time")))))</x:f>
        <x:v>On Time</x:v>
      </x:c>
      <x:c r="T164" s="36" t="str"/>
    </x:row>
    <x:row r="165">
      <x:c r="A165" s="37" t="n">
        <x:v>46295</x:v>
      </x:c>
      <x:c r="B165" s="36" t="str">
        <x:v>EMP-006</x:v>
      </x:c>
      <x:c r="C165" s="54" t="str">
        <x:f>IFERROR(VLOOKUP(B165,Employees!$A$4:$K$9,2,FALSE),"")</x:f>
        <x:v>Ethan Brown</x:v>
      </x:c>
      <x:c r="D165" s="54" t="str">
        <x:f>TEXT(A165,"dddd")</x:f>
        <x:v>Wednesday</x:v>
      </x:c>
      <x:c r="E165" s="56" t="n">
        <x:f>IFERROR(VLOOKUP(D165,'Work Schedule'!$A$4:$F$10,2,FALSE),"")</x:f>
        <x:v>0.3333333333333333</x:v>
      </x:c>
      <x:c r="F165" s="56" t="n">
        <x:f>IFERROR(VLOOKUP(D165,'Work Schedule'!$A$4:$F$10,3,FALSE),"")</x:f>
        <x:v>0.7083333333333334</x:v>
      </x:c>
      <x:c r="G165" s="50" t="n">
        <x:v>0.3326388888888889</x:v>
      </x:c>
      <x:c r="H165" s="50" t="n">
        <x:v>0.7090277777777778</x:v>
      </x:c>
      <x:c r="I165" s="52" t="n">
        <x:v>1</x:v>
      </x:c>
      <x:c r="J165" s="36" t="str">
        <x:v>None</x:v>
      </x:c>
      <x:c r="K165" s="52" t="n">
        <x:v>0</x:v>
      </x:c>
      <x:c r="L165" s="58" t="n">
        <x:f>IFERROR(VLOOKUP(D165,'Work Schedule'!$A$4:$F$10,5,FALSE),0)</x:f>
        <x:v>8</x:v>
      </x:c>
      <x:c r="M165" s="46" t="n">
        <x:f>IF(OR(G165="",H165=""),0,ROUND(MAX(0,(H165-G165)*24-I165),2))</x:f>
        <x:v>8.03</x:v>
      </x:c>
      <x:c r="N165" s="60" t="n">
        <x:f>A165-WEEKDAY(A165,2)+1</x:f>
        <x:v>46293</x:v>
      </x:c>
      <x:c r="O165" s="58" t="n">
        <x:f>ROUND(SUMIFS($M$4:$M$400,$B$4:$B$400,B165,$N$4:$N$400,N165,$A$4:$A$400,"&lt;="&amp;A165),2)</x:f>
        <x:v>24.17</x:v>
      </x:c>
      <x:c r="P165" s="46" t="n">
        <x:f>ROUND(MAX(0,M165-Q165),2)</x:f>
        <x:v>8.03</x:v>
      </x:c>
      <x:c r="Q165" s="46" t="n">
        <x:f>ROUND(MAX(0,O165-Settings!$B$13)-MAX(0,O165-M165-Settings!$B$13),2)</x:f>
        <x:v>0</x:v>
      </x:c>
      <x:c r="R165" s="46" t="n">
        <x:f>ROUND(M165+K165-L165,2)</x:f>
        <x:v>0.03</x:v>
      </x:c>
      <x:c r="S165" t="str">
        <x:f>IF(B165="","",IF(J165&lt;&gt;"None",J165,IF(Q165&gt;0,"Overtime",IF(G165&gt;E165,"Late",IF(H165&lt;F165,"Left Early","On Time")))))</x:f>
        <x:v>On Time</x:v>
      </x:c>
      <x:c r="T165" s="36" t="str"/>
    </x:row>
  </x:sheetData>
  <x:mergeCells>
    <x:mergeCell ref="A1:T1"/>
  </x:mergeCells>
  <x:conditionalFormatting sqref="S4:S165">
    <x:cfRule type="expression" dxfId="0" priority="1">
      <x:formula>OR(S4="Late",S4="Left Early",S4="Absent")</x:formula>
    </x:cfRule>
    <x:cfRule type="expression" dxfId="1" priority="2">
      <x:formula>S4="Overtime"</x:formula>
    </x:cfRule>
    <x:cfRule type="expression" dxfId="2" priority="3">
      <x:formula>OR(S4="Paid Leave",S4="Unpaid Leave",S4="Public Holiday")</x:formula>
    </x:cfRule>
  </x:conditionalFormatting>
  <x:dataValidations count="1">
    <x:dataValidation type="list" sqref="J4:J165">
      <x:formula1>"None,Paid Leave,Unpaid Leave,Public Holiday"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42" hidden="0" customWidth="1"/>
  </x:cols>
  <x:sheetData>
    <x:row r="1" ht="28" customHeight="1">
      <x:c r="A1" s="3" t="str">
        <x:v>Payroll Periods</x:v>
      </x:c>
    </x:row>
    <x:row r="3" ht="30" customHeight="1">
      <x:c r="A3" s="10" t="str">
        <x:v>Period ID</x:v>
      </x:c>
      <x:c r="B3" s="10" t="str">
        <x:v>Start Date</x:v>
      </x:c>
      <x:c r="C3" s="10" t="str">
        <x:v>End Date</x:v>
      </x:c>
      <x:c r="D3" s="10" t="str">
        <x:v>Pay Date</x:v>
      </x:c>
      <x:c r="E3" s="10" t="str">
        <x:v>Status</x:v>
      </x:c>
      <x:c r="F3" s="10" t="str">
        <x:v>Notes</x:v>
      </x:c>
    </x:row>
    <x:row r="4">
      <x:c r="A4" t="str">
        <x:v>2026-09</x:v>
      </x:c>
      <x:c r="B4" s="22" t="n">
        <x:v>46266</x:v>
      </x:c>
      <x:c r="C4" s="22" t="n">
        <x:v>46295</x:v>
      </x:c>
      <x:c r="D4" s="22" t="n">
        <x:v>46300</x:v>
      </x:c>
      <x:c r="E4" t="str">
        <x:v>Draft</x:v>
      </x:c>
      <x:c r="F4" t="str">
        <x:v>September 2026 Ontario sample payroll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16" hidden="0" customWidth="1"/>
    <x:col min="4" max="4" width="18" hidden="0" customWidth="1"/>
    <x:col min="5" max="5" width="15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7" hidden="0" customWidth="1"/>
    <x:col min="11" max="11" width="18" hidden="0" customWidth="1"/>
    <x:col min="12" max="12" width="20" hidden="0" customWidth="1"/>
    <x:col min="13" max="13" width="17" hidden="0" customWidth="1"/>
    <x:col min="14" max="14" width="16" hidden="0" customWidth="1"/>
    <x:col min="15" max="15" width="12" hidden="0" customWidth="1"/>
    <x:col min="16" max="16" width="12" hidden="0" customWidth="1"/>
    <x:col min="17" max="17" width="12" hidden="0" customWidth="1"/>
    <x:col min="18" max="18" width="17" hidden="0" customWidth="1"/>
    <x:col min="19" max="19" width="17" hidden="0" customWidth="1"/>
    <x:col min="20" max="20" width="23" hidden="0" customWidth="1"/>
    <x:col min="21" max="21" width="22" hidden="0" customWidth="1"/>
    <x:col min="22" max="22" width="16" hidden="0" customWidth="1"/>
    <x:col min="23" max="23" width="16" hidden="0" customWidth="1"/>
    <x:col min="24" max="24" width="13" hidden="0" customWidth="1"/>
    <x:col min="25" max="25" width="13" hidden="0" customWidth="1"/>
    <x:col min="26" max="26" width="12" hidden="0" customWidth="1"/>
  </x:cols>
  <x:sheetData>
    <x:row r="1" ht="28" customHeight="1">
      <x:c r="A1" s="3" t="str">
        <x:v>Payroll Calculation - September 2026</x:v>
      </x:c>
    </x:row>
    <x:row r="3" ht="30" customHeight="1">
      <x:c r="A3" s="10" t="str">
        <x:v>Employee ID</x:v>
      </x:c>
      <x:c r="B3" s="10" t="str">
        <x:v>Full Name</x:v>
      </x:c>
      <x:c r="C3" s="10" t="str">
        <x:v>Hourly Rate (CAD)</x:v>
      </x:c>
      <x:c r="D3" s="10" t="str">
        <x:v>Regular Worked Hours</x:v>
      </x:c>
      <x:c r="E3" s="10" t="str">
        <x:v>Overtime Hours</x:v>
      </x:c>
      <x:c r="F3" s="10" t="str">
        <x:v>Paid Leave Hours</x:v>
      </x:c>
      <x:c r="G3" s="10" t="str">
        <x:v>Public Holiday Hours</x:v>
      </x:c>
      <x:c r="H3" s="10" t="str">
        <x:v>Unpaid Leave Hours</x:v>
      </x:c>
      <x:c r="I3" s="10" t="str">
        <x:v>Regular Pay (CAD)</x:v>
      </x:c>
      <x:c r="J3" s="10" t="str">
        <x:v>Overtime Pay (CAD)</x:v>
      </x:c>
      <x:c r="K3" s="10" t="str">
        <x:v>Paid Leave Pay (CAD)</x:v>
      </x:c>
      <x:c r="L3" s="10" t="str">
        <x:v>Public Holiday Pay (Est.)</x:v>
      </x:c>
      <x:c r="M3" s="10" t="str">
        <x:v>Vacation Pay (CAD)</x:v>
      </x:c>
      <x:c r="N3" s="10" t="str">
        <x:v>Gross Pay (CAD)</x:v>
      </x:c>
      <x:c r="O3" s="10" t="str">
        <x:v>CPP (Est.)</x:v>
      </x:c>
      <x:c r="P3" s="10" t="str">
        <x:v>CPP2 (Est.)</x:v>
      </x:c>
      <x:c r="Q3" s="10" t="str">
        <x:v>EI (Est.)</x:v>
      </x:c>
      <x:c r="R3" s="10" t="str">
        <x:v>Federal Tax (Est.)</x:v>
      </x:c>
      <x:c r="S3" s="10" t="str">
        <x:v>Ontario Tax (Est.)</x:v>
      </x:c>
      <x:c r="T3" s="10" t="str">
        <x:v>Ontario Health Premium (Est.)</x:v>
      </x:c>
      <x:c r="U3" s="10" t="str">
        <x:v>Total Deductions (Est.)</x:v>
      </x:c>
      <x:c r="V3" s="10" t="str">
        <x:v>Net Pay (Est.)</x:v>
      </x:c>
      <x:c r="W3" s="10" t="str">
        <x:v>Vacation Pay Rate</x:v>
      </x:c>
      <x:c r="X3" s="10" t="str">
        <x:v>Period Start</x:v>
      </x:c>
      <x:c r="Y3" s="10" t="str">
        <x:v>Period End</x:v>
      </x:c>
      <x:c r="Z3" s="10" t="str">
        <x:v>Control</x:v>
      </x:c>
    </x:row>
    <x:row r="4">
      <x:c r="A4" t="str">
        <x:v>EMP-001</x:v>
      </x:c>
      <x:c r="B4" t="str">
        <x:f>IFERROR(VLOOKUP(A4,Employees!$A$4:$K$9,2,FALSE),"")</x:f>
        <x:v>Olivia Martin</x:v>
      </x:c>
      <x:c r="C4" s="34" t="n">
        <x:f>IFERROR(VLOOKUP(A4,Employees!$A$4:$K$9,5,FALSE),0)</x:f>
        <x:v>29.5</x:v>
      </x:c>
      <x:c r="D4" s="46" t="n">
        <x:f>SUMIFS(Attendance!$P$4:$P$400,Attendance!$B$4:$B$400,$A4,Attendance!$A$4:$A$400,"&gt;="&amp;Settings!$B$4,Attendance!$A$4:$A$400,"&lt;="&amp;Settings!$B$5)</x:f>
        <x:v>182.21000000000004</x:v>
      </x:c>
      <x:c r="E4" s="46" t="n">
        <x:f>SUMIFS(Attendance!$Q$4:$Q$400,Attendance!$B$4:$B$400,$A4,Attendance!$A$4:$A$400,"&gt;="&amp;Settings!$B$4,Attendance!$A$4:$A$400,"&lt;="&amp;Settings!$B$5)</x:f>
        <x:v>3.02</x:v>
      </x:c>
      <x:c r="F4" s="46" t="n">
        <x:f>SUMIFS(Attendance!$K$4:$K$400,Attendance!$B$4:$B$400,$A4,Attendance!$J$4:$J$400,"Paid Leave",Attendance!$A$4:$A$400,"&gt;="&amp;Settings!$B$4,Attendance!$A$4:$A$400,"&lt;="&amp;Settings!$B$5)</x:f>
        <x:v>4</x:v>
      </x:c>
      <x:c r="G4" s="46" t="n">
        <x:f>SUMIFS(Attendance!$K$4:$K$400,Attendance!$B$4:$B$400,$A4,Attendance!$J$4:$J$400,"Public Holiday",Attendance!$A$4:$A$400,"&gt;="&amp;Settings!$B$4,Attendance!$A$4:$A$400,"&lt;="&amp;Settings!$B$5)</x:f>
        <x:v>8</x:v>
      </x:c>
      <x:c r="H4" s="46" t="n">
        <x:f>SUMIFS(Attendance!$K$4:$K$400,Attendance!$B$4:$B$400,$A4,Attendance!$J$4:$J$400,"Unpaid Leave",Attendance!$A$4:$A$400,"&gt;="&amp;Settings!$B$4,Attendance!$A$4:$A$400,"&lt;="&amp;Settings!$B$5)</x:f>
        <x:v>0</x:v>
      </x:c>
      <x:c r="I4" s="34" t="n">
        <x:f>ROUND(C4*D4,2)</x:f>
        <x:v>5375.2</x:v>
      </x:c>
      <x:c r="J4" s="34" t="n">
        <x:f>ROUND(C4*E4*Settings!$B$14,2)</x:f>
        <x:v>133.64</x:v>
      </x:c>
      <x:c r="K4" s="34" t="n">
        <x:f>ROUND(C4*F4,2)</x:f>
        <x:v>118</x:v>
      </x:c>
      <x:c r="L4" s="34" t="n">
        <x:f>ROUND(C4*G4,2)</x:f>
        <x:v>236</x:v>
      </x:c>
      <x:c r="M4" s="34" t="n">
        <x:f>ROUND((I4+J4+K4+L4)*W4,2)</x:f>
        <x:v>234.51</x:v>
      </x:c>
      <x:c r="N4" s="34" t="n">
        <x:f>SUM(I4:M4)</x:f>
        <x:v>6097.35</x:v>
      </x:c>
      <x:c r="O4" s="34" t="n">
        <x:f>ROUND(MIN(Settings!$B$19/Settings!$B$15,MAX(0,N4-Settings!$B$16/Settings!$B$15)*Settings!$B$17),2)</x:f>
        <x:v>345.44</x:v>
      </x:c>
      <x:c r="P4" s="34" t="n">
        <x:f>ROUND(MIN(Settings!$B$22/Settings!$B$15,MAX(0,MIN(N4*Settings!$B$15,Settings!$B$20)-Settings!$B$18)/Settings!$B$15*Settings!$B$21),2)</x:f>
        <x:v>0</x:v>
      </x:c>
      <x:c r="Q4" s="34" t="n">
        <x:f>ROUND(MIN(Settings!$B$25/Settings!$B$15,N4*Settings!$B$24),2)</x:f>
        <x:v>93.59</x:v>
      </x:c>
      <x:c r="R4" s="34" t="n">
        <x:f>ROUND((MIN(N4*Settings!$B$15,Settings!$B$29)*Settings!$C$29+MAX(0,MIN(N4*Settings!$B$15,Settings!$B$30)-Settings!$B$29)*Settings!$C$30+MAX(0,MIN(N4*Settings!$B$15,Settings!$B$31)-Settings!$B$30)*Settings!$C$31+MAX(0,MIN(N4*Settings!$B$15,Settings!$B$32)-Settings!$B$31)*Settings!$C$32+MAX(0,N4*Settings!$B$15-Settings!$B$32)*Settings!$C$33)/Settings!$B$15,2)</x:f>
        <x:v>932.96</x:v>
      </x:c>
      <x:c r="S4" s="34" t="n">
        <x:f>ROUND((MIN(N4*Settings!$B$15,Settings!$B$37)*Settings!$C$37+MAX(0,MIN(N4*Settings!$B$15,Settings!$B$38)-Settings!$B$37)*Settings!$C$38+MAX(0,MIN(N4*Settings!$B$15,Settings!$B$39)-Settings!$B$38)*Settings!$C$39+MAX(0,MIN(N4*Settings!$B$15,Settings!$B$40)-Settings!$B$39)*Settings!$C$40+MAX(0,N4*Settings!$B$15-Settings!$B$40)*Settings!$C$41)/Settings!$B$15,2)</x:f>
        <x:v>373.78</x:v>
      </x:c>
      <x:c r="T4" s="34" t="n">
        <x:f>ROUND(IF(N4*Settings!$B$15&lt;=20000,0,IF(N4*Settings!$B$15&lt;=36000,MIN(300,0.06*(N4*Settings!$B$15-20000)),IF(N4*Settings!$B$15&lt;=48000,MIN(450,300+0.06*(N4*Settings!$B$15-36000)),IF(N4*Settings!$B$15&lt;=72000,MIN(600,450+0.25*(N4*Settings!$B$15-48000)),IF(N4*Settings!$B$15&lt;=200000,MIN(750,600+0.25*(N4*Settings!$B$15-72000)),MIN(900,750+0.25*(N4*Settings!$B$15-200000)))))))/Settings!$B$15,2)</x:f>
        <x:v>62.5</x:v>
      </x:c>
      <x:c r="U4" s="34" t="n">
        <x:f>SUM(O4:T4)</x:f>
        <x:v>1808.27</x:v>
      </x:c>
      <x:c r="V4" s="34" t="n">
        <x:f>N4-U4</x:f>
        <x:v>4289.08</x:v>
      </x:c>
      <x:c r="W4" s="32" t="n">
        <x:f>IFERROR(VLOOKUP(A4,Employees!$A$4:$K$9,10,FALSE),0.04)</x:f>
        <x:v>0.04</x:v>
      </x:c>
      <x:c r="X4" s="22" t="n">
        <x:f>Settings!$B$4</x:f>
        <x:v>46266</x:v>
      </x:c>
      <x:c r="Y4" s="22" t="n">
        <x:f>Settings!$B$5</x:f>
        <x:v>46295</x:v>
      </x:c>
      <x:c r="Z4" t="str">
        <x:f>IF(AND(A4&lt;&gt;"",V4&gt;=0),"OK","Review")</x:f>
        <x:v>OK</x:v>
      </x:c>
    </x:row>
    <x:row r="5">
      <x:c r="A5" t="str">
        <x:v>EMP-002</x:v>
      </x:c>
      <x:c r="B5" t="str">
        <x:f>IFERROR(VLOOKUP(A5,Employees!$A$4:$K$9,2,FALSE),"")</x:f>
        <x:v>Liam Chen</x:v>
      </x:c>
      <x:c r="C5" s="34" t="n">
        <x:f>IFERROR(VLOOKUP(A5,Employees!$A$4:$K$9,5,FALSE),0)</x:f>
        <x:v>26.75</x:v>
      </x:c>
      <x:c r="D5" s="46" t="n">
        <x:f>SUMIFS(Attendance!$P$4:$P$400,Attendance!$B$4:$B$400,$A5,Attendance!$A$4:$A$400,"&gt;="&amp;Settings!$B$4,Attendance!$A$4:$A$400,"&lt;="&amp;Settings!$B$5)</x:f>
        <x:v>179.16</x:v>
      </x:c>
      <x:c r="E5" s="46" t="n">
        <x:f>SUMIFS(Attendance!$Q$4:$Q$400,Attendance!$B$4:$B$400,$A5,Attendance!$A$4:$A$400,"&gt;="&amp;Settings!$B$4,Attendance!$A$4:$A$400,"&lt;="&amp;Settings!$B$5)</x:f>
        <x:v>2.41</x:v>
      </x:c>
      <x:c r="F5" s="46" t="n">
        <x:f>SUMIFS(Attendance!$K$4:$K$400,Attendance!$B$4:$B$400,$A5,Attendance!$J$4:$J$400,"Paid Leave",Attendance!$A$4:$A$400,"&gt;="&amp;Settings!$B$4,Attendance!$A$4:$A$400,"&lt;="&amp;Settings!$B$5)</x:f>
        <x:v>0</x:v>
      </x:c>
      <x:c r="G5" s="46" t="n">
        <x:f>SUMIFS(Attendance!$K$4:$K$400,Attendance!$B$4:$B$400,$A5,Attendance!$J$4:$J$400,"Public Holiday",Attendance!$A$4:$A$400,"&gt;="&amp;Settings!$B$4,Attendance!$A$4:$A$400,"&lt;="&amp;Settings!$B$5)</x:f>
        <x:v>8</x:v>
      </x:c>
      <x:c r="H5" s="46" t="n">
        <x:f>SUMIFS(Attendance!$K$4:$K$400,Attendance!$B$4:$B$400,$A5,Attendance!$J$4:$J$400,"Unpaid Leave",Attendance!$A$4:$A$400,"&gt;="&amp;Settings!$B$4,Attendance!$A$4:$A$400,"&lt;="&amp;Settings!$B$5)</x:f>
        <x:v>8</x:v>
      </x:c>
      <x:c r="I5" s="34" t="n">
        <x:f>ROUND(C5*D5,2)</x:f>
        <x:v>4792.53</x:v>
      </x:c>
      <x:c r="J5" s="34" t="n">
        <x:f>ROUND(C5*E5*Settings!$B$14,2)</x:f>
        <x:v>96.7</x:v>
      </x:c>
      <x:c r="K5" s="34" t="n">
        <x:f>ROUND(C5*F5,2)</x:f>
        <x:v>0</x:v>
      </x:c>
      <x:c r="L5" s="34" t="n">
        <x:f>ROUND(C5*G5,2)</x:f>
        <x:v>214</x:v>
      </x:c>
      <x:c r="M5" s="34" t="n">
        <x:f>ROUND((I5+J5+K5+L5)*W5,2)</x:f>
        <x:v>204.13</x:v>
      </x:c>
      <x:c r="N5" s="34" t="n">
        <x:f>SUM(I5:M5)</x:f>
        <x:v>5307.36</x:v>
      </x:c>
      <x:c r="O5" s="34" t="n">
        <x:f>ROUND(MIN(Settings!$B$19/Settings!$B$15,MAX(0,N5-Settings!$B$16/Settings!$B$15)*Settings!$B$17),2)</x:f>
        <x:v>298.43</x:v>
      </x:c>
      <x:c r="P5" s="34" t="n">
        <x:f>ROUND(MIN(Settings!$B$22/Settings!$B$15,MAX(0,MIN(N5*Settings!$B$15,Settings!$B$20)-Settings!$B$18)/Settings!$B$15*Settings!$B$21),2)</x:f>
        <x:v>0</x:v>
      </x:c>
      <x:c r="Q5" s="34" t="n">
        <x:f>ROUND(MIN(Settings!$B$25/Settings!$B$15,N5*Settings!$B$24),2)</x:f>
        <x:v>86.51</x:v>
      </x:c>
      <x:c r="R5" s="34" t="n">
        <x:f>ROUND((MIN(N5*Settings!$B$15,Settings!$B$29)*Settings!$C$29+MAX(0,MIN(N5*Settings!$B$15,Settings!$B$30)-Settings!$B$29)*Settings!$C$30+MAX(0,MIN(N5*Settings!$B$15,Settings!$B$31)-Settings!$B$30)*Settings!$C$31+MAX(0,MIN(N5*Settings!$B$15,Settings!$B$32)-Settings!$B$31)*Settings!$C$32+MAX(0,N5*Settings!$B$15-Settings!$B$32)*Settings!$C$33)/Settings!$B$15,2)</x:f>
        <x:v>771.01</x:v>
      </x:c>
      <x:c r="S5" s="34" t="n">
        <x:f>ROUND((MIN(N5*Settings!$B$15,Settings!$B$37)*Settings!$C$37+MAX(0,MIN(N5*Settings!$B$15,Settings!$B$38)-Settings!$B$37)*Settings!$C$38+MAX(0,MIN(N5*Settings!$B$15,Settings!$B$39)-Settings!$B$38)*Settings!$C$39+MAX(0,MIN(N5*Settings!$B$15,Settings!$B$40)-Settings!$B$39)*Settings!$C$40+MAX(0,N5*Settings!$B$15-Settings!$B$40)*Settings!$C$41)/Settings!$B$15,2)</x:f>
        <x:v>301.5</x:v>
      </x:c>
      <x:c r="T5" s="34" t="n">
        <x:f>ROUND(IF(N5*Settings!$B$15&lt;=20000,0,IF(N5*Settings!$B$15&lt;=36000,MIN(300,0.06*(N5*Settings!$B$15-20000)),IF(N5*Settings!$B$15&lt;=48000,MIN(450,300+0.06*(N5*Settings!$B$15-36000)),IF(N5*Settings!$B$15&lt;=72000,MIN(600,450+0.25*(N5*Settings!$B$15-48000)),IF(N5*Settings!$B$15&lt;=200000,MIN(750,600+0.25*(N5*Settings!$B$15-72000)),MIN(900,750+0.25*(N5*Settings!$B$15-200000)))))))/Settings!$B$15,2)</x:f>
        <x:v>50</x:v>
      </x:c>
      <x:c r="U5" s="34" t="n">
        <x:f>SUM(O5:T5)</x:f>
        <x:v>1507.45</x:v>
      </x:c>
      <x:c r="V5" s="34" t="n">
        <x:f>N5-U5</x:f>
        <x:v>3799.91</x:v>
      </x:c>
      <x:c r="W5" s="32" t="n">
        <x:f>IFERROR(VLOOKUP(A5,Employees!$A$4:$K$9,10,FALSE),0.04)</x:f>
        <x:v>0.04</x:v>
      </x:c>
      <x:c r="X5" s="22" t="n">
        <x:f>Settings!$B$4</x:f>
        <x:v>46266</x:v>
      </x:c>
      <x:c r="Y5" s="22" t="n">
        <x:f>Settings!$B$5</x:f>
        <x:v>46295</x:v>
      </x:c>
      <x:c r="Z5" t="str">
        <x:f>IF(AND(A5&lt;&gt;"",V5&gt;=0),"OK","Review")</x:f>
        <x:v>OK</x:v>
      </x:c>
    </x:row>
    <x:row r="6">
      <x:c r="A6" t="str">
        <x:v>EMP-003</x:v>
      </x:c>
      <x:c r="B6" t="str">
        <x:f>IFERROR(VLOOKUP(A6,Employees!$A$4:$K$9,2,FALSE),"")</x:f>
        <x:v>Ava Patel</x:v>
      </x:c>
      <x:c r="C6" s="34" t="n">
        <x:f>IFERROR(VLOOKUP(A6,Employees!$A$4:$K$9,5,FALSE),0)</x:f>
        <x:v>34.5</x:v>
      </x:c>
      <x:c r="D6" s="46" t="n">
        <x:f>SUMIFS(Attendance!$P$4:$P$400,Attendance!$B$4:$B$400,$A6,Attendance!$A$4:$A$400,"&gt;="&amp;Settings!$B$4,Attendance!$A$4:$A$400,"&lt;="&amp;Settings!$B$5)</x:f>
        <x:v>176.71</x:v>
      </x:c>
      <x:c r="E6" s="46" t="n">
        <x:f>SUMIFS(Attendance!$Q$4:$Q$400,Attendance!$B$4:$B$400,$A6,Attendance!$A$4:$A$400,"&gt;="&amp;Settings!$B$4,Attendance!$A$4:$A$400,"&lt;="&amp;Settings!$B$5)</x:f>
        <x:v>3.42</x:v>
      </x:c>
      <x:c r="F6" s="46" t="n">
        <x:f>SUMIFS(Attendance!$K$4:$K$400,Attendance!$B$4:$B$400,$A6,Attendance!$J$4:$J$400,"Paid Leave",Attendance!$A$4:$A$400,"&gt;="&amp;Settings!$B$4,Attendance!$A$4:$A$400,"&lt;="&amp;Settings!$B$5)</x:f>
        <x:v>8.5</x:v>
      </x:c>
      <x:c r="G6" s="46" t="n">
        <x:f>SUMIFS(Attendance!$K$4:$K$400,Attendance!$B$4:$B$400,$A6,Attendance!$J$4:$J$400,"Public Holiday",Attendance!$A$4:$A$400,"&gt;="&amp;Settings!$B$4,Attendance!$A$4:$A$400,"&lt;="&amp;Settings!$B$5)</x:f>
        <x:v>8</x:v>
      </x:c>
      <x:c r="H6" s="46" t="n">
        <x:f>SUMIFS(Attendance!$K$4:$K$400,Attendance!$B$4:$B$400,$A6,Attendance!$J$4:$J$400,"Unpaid Leave",Attendance!$A$4:$A$400,"&gt;="&amp;Settings!$B$4,Attendance!$A$4:$A$400,"&lt;="&amp;Settings!$B$5)</x:f>
        <x:v>0</x:v>
      </x:c>
      <x:c r="I6" s="34" t="n">
        <x:f>ROUND(C6*D6,2)</x:f>
        <x:v>6096.5</x:v>
      </x:c>
      <x:c r="J6" s="34" t="n">
        <x:f>ROUND(C6*E6*Settings!$B$14,2)</x:f>
        <x:v>176.99</x:v>
      </x:c>
      <x:c r="K6" s="34" t="n">
        <x:f>ROUND(C6*F6,2)</x:f>
        <x:v>293.25</x:v>
      </x:c>
      <x:c r="L6" s="34" t="n">
        <x:f>ROUND(C6*G6,2)</x:f>
        <x:v>276</x:v>
      </x:c>
      <x:c r="M6" s="34" t="n">
        <x:f>ROUND((I6+J6+K6+L6)*W6,2)</x:f>
        <x:v>273.71</x:v>
      </x:c>
      <x:c r="N6" s="34" t="n">
        <x:f>SUM(I6:M6)</x:f>
        <x:v>7116.45</x:v>
      </x:c>
      <x:c r="O6" s="34" t="n">
        <x:f>ROUND(MIN(Settings!$B$19/Settings!$B$15,MAX(0,N6-Settings!$B$16/Settings!$B$15)*Settings!$B$17),2)</x:f>
        <x:v>352.54</x:v>
      </x:c>
      <x:c r="P6" s="34" t="n">
        <x:f>ROUND(MIN(Settings!$B$22/Settings!$B$15,MAX(0,MIN(N6*Settings!$B$15,Settings!$B$20)-Settings!$B$18)/Settings!$B$15*Settings!$B$21),2)</x:f>
        <x:v>34.67</x:v>
      </x:c>
      <x:c r="Q6" s="34" t="n">
        <x:f>ROUND(MIN(Settings!$B$25/Settings!$B$15,N6*Settings!$B$24),2)</x:f>
        <x:v>93.59</x:v>
      </x:c>
      <x:c r="R6" s="34" t="n">
        <x:f>ROUND((MIN(N6*Settings!$B$15,Settings!$B$29)*Settings!$C$29+MAX(0,MIN(N6*Settings!$B$15,Settings!$B$30)-Settings!$B$29)*Settings!$C$30+MAX(0,MIN(N6*Settings!$B$15,Settings!$B$31)-Settings!$B$30)*Settings!$C$31+MAX(0,MIN(N6*Settings!$B$15,Settings!$B$32)-Settings!$B$31)*Settings!$C$32+MAX(0,N6*Settings!$B$15-Settings!$B$32)*Settings!$C$33)/Settings!$B$15,2)</x:f>
        <x:v>1141.87</x:v>
      </x:c>
      <x:c r="S6" s="34" t="n">
        <x:f>ROUND((MIN(N6*Settings!$B$15,Settings!$B$37)*Settings!$C$37+MAX(0,MIN(N6*Settings!$B$15,Settings!$B$38)-Settings!$B$37)*Settings!$C$38+MAX(0,MIN(N6*Settings!$B$15,Settings!$B$39)-Settings!$B$38)*Settings!$C$39+MAX(0,MIN(N6*Settings!$B$15,Settings!$B$40)-Settings!$B$39)*Settings!$C$40+MAX(0,N6*Settings!$B$15-Settings!$B$40)*Settings!$C$41)/Settings!$B$15,2)</x:f>
        <x:v>467.03</x:v>
      </x:c>
      <x:c r="T6" s="34" t="n">
        <x:f>ROUND(IF(N6*Settings!$B$15&lt;=20000,0,IF(N6*Settings!$B$15&lt;=36000,MIN(300,0.06*(N6*Settings!$B$15-20000)),IF(N6*Settings!$B$15&lt;=48000,MIN(450,300+0.06*(N6*Settings!$B$15-36000)),IF(N6*Settings!$B$15&lt;=72000,MIN(600,450+0.25*(N6*Settings!$B$15-48000)),IF(N6*Settings!$B$15&lt;=200000,MIN(750,600+0.25*(N6*Settings!$B$15-72000)),MIN(900,750+0.25*(N6*Settings!$B$15-200000)))))))/Settings!$B$15,2)</x:f>
        <x:v>62.5</x:v>
      </x:c>
      <x:c r="U6" s="34" t="n">
        <x:f>SUM(O6:T6)</x:f>
        <x:v>2152.2</x:v>
      </x:c>
      <x:c r="V6" s="34" t="n">
        <x:f>N6-U6</x:f>
        <x:v>4964.25</x:v>
      </x:c>
      <x:c r="W6" s="32" t="n">
        <x:f>IFERROR(VLOOKUP(A6,Employees!$A$4:$K$9,10,FALSE),0.04)</x:f>
        <x:v>0.04</x:v>
      </x:c>
      <x:c r="X6" s="22" t="n">
        <x:f>Settings!$B$4</x:f>
        <x:v>46266</x:v>
      </x:c>
      <x:c r="Y6" s="22" t="n">
        <x:f>Settings!$B$5</x:f>
        <x:v>46295</x:v>
      </x:c>
      <x:c r="Z6" t="str">
        <x:f>IF(AND(A6&lt;&gt;"",V6&gt;=0),"OK","Review")</x:f>
        <x:v>OK</x:v>
      </x:c>
    </x:row>
    <x:row r="7">
      <x:c r="A7" t="str">
        <x:v>EMP-004</x:v>
      </x:c>
      <x:c r="B7" t="str">
        <x:f>IFERROR(VLOOKUP(A7,Employees!$A$4:$K$9,2,FALSE),"")</x:f>
        <x:v>Noah Williams</x:v>
      </x:c>
      <x:c r="C7" s="34" t="n">
        <x:f>IFERROR(VLOOKUP(A7,Employees!$A$4:$K$9,5,FALSE),0)</x:f>
        <x:v>24.25</x:v>
      </x:c>
      <x:c r="D7" s="46" t="n">
        <x:f>SUMIFS(Attendance!$P$4:$P$400,Attendance!$B$4:$B$400,$A7,Attendance!$A$4:$A$400,"&gt;="&amp;Settings!$B$4,Attendance!$A$4:$A$400,"&lt;="&amp;Settings!$B$5)</x:f>
        <x:v>174.30999999999997</x:v>
      </x:c>
      <x:c r="E7" s="46" t="n">
        <x:f>SUMIFS(Attendance!$Q$4:$Q$400,Attendance!$B$4:$B$400,$A7,Attendance!$A$4:$A$400,"&gt;="&amp;Settings!$B$4,Attendance!$A$4:$A$400,"&lt;="&amp;Settings!$B$5)</x:f>
        <x:v>1.9</x:v>
      </x:c>
      <x:c r="F7" s="46" t="n">
        <x:f>SUMIFS(Attendance!$K$4:$K$400,Attendance!$B$4:$B$400,$A7,Attendance!$J$4:$J$400,"Paid Leave",Attendance!$A$4:$A$400,"&gt;="&amp;Settings!$B$4,Attendance!$A$4:$A$400,"&lt;="&amp;Settings!$B$5)</x:f>
        <x:v>8</x:v>
      </x:c>
      <x:c r="G7" s="46" t="n">
        <x:f>SUMIFS(Attendance!$K$4:$K$400,Attendance!$B$4:$B$400,$A7,Attendance!$J$4:$J$400,"Public Holiday",Attendance!$A$4:$A$400,"&gt;="&amp;Settings!$B$4,Attendance!$A$4:$A$400,"&lt;="&amp;Settings!$B$5)</x:f>
        <x:v>8</x:v>
      </x:c>
      <x:c r="H7" s="46" t="n">
        <x:f>SUMIFS(Attendance!$K$4:$K$400,Attendance!$B$4:$B$400,$A7,Attendance!$J$4:$J$400,"Unpaid Leave",Attendance!$A$4:$A$400,"&gt;="&amp;Settings!$B$4,Attendance!$A$4:$A$400,"&lt;="&amp;Settings!$B$5)</x:f>
        <x:v>5</x:v>
      </x:c>
      <x:c r="I7" s="34" t="n">
        <x:f>ROUND(C7*D7,2)</x:f>
        <x:v>4227.02</x:v>
      </x:c>
      <x:c r="J7" s="34" t="n">
        <x:f>ROUND(C7*E7*Settings!$B$14,2)</x:f>
        <x:v>69.11</x:v>
      </x:c>
      <x:c r="K7" s="34" t="n">
        <x:f>ROUND(C7*F7,2)</x:f>
        <x:v>194</x:v>
      </x:c>
      <x:c r="L7" s="34" t="n">
        <x:f>ROUND(C7*G7,2)</x:f>
        <x:v>194</x:v>
      </x:c>
      <x:c r="M7" s="34" t="n">
        <x:f>ROUND((I7+J7+K7+L7)*W7,2)</x:f>
        <x:v>187.37</x:v>
      </x:c>
      <x:c r="N7" s="34" t="n">
        <x:f>SUM(I7:M7)</x:f>
        <x:v>4871.5</x:v>
      </x:c>
      <x:c r="O7" s="34" t="n">
        <x:f>ROUND(MIN(Settings!$B$19/Settings!$B$15,MAX(0,N7-Settings!$B$16/Settings!$B$15)*Settings!$B$17),2)</x:f>
        <x:v>272.5</x:v>
      </x:c>
      <x:c r="P7" s="34" t="n">
        <x:f>ROUND(MIN(Settings!$B$22/Settings!$B$15,MAX(0,MIN(N7*Settings!$B$15,Settings!$B$20)-Settings!$B$18)/Settings!$B$15*Settings!$B$21),2)</x:f>
        <x:v>0</x:v>
      </x:c>
      <x:c r="Q7" s="34" t="n">
        <x:f>ROUND(MIN(Settings!$B$25/Settings!$B$15,N7*Settings!$B$24),2)</x:f>
        <x:v>79.41</x:v>
      </x:c>
      <x:c r="R7" s="34" t="n">
        <x:f>ROUND((MIN(N7*Settings!$B$15,Settings!$B$29)*Settings!$C$29+MAX(0,MIN(N7*Settings!$B$15,Settings!$B$30)-Settings!$B$29)*Settings!$C$30+MAX(0,MIN(N7*Settings!$B$15,Settings!$B$31)-Settings!$B$30)*Settings!$C$31+MAX(0,MIN(N7*Settings!$B$15,Settings!$B$32)-Settings!$B$31)*Settings!$C$32+MAX(0,N7*Settings!$B$15-Settings!$B$32)*Settings!$C$33)/Settings!$B$15,2)</x:f>
        <x:v>682.01</x:v>
      </x:c>
      <x:c r="S7" s="34" t="n">
        <x:f>ROUND((MIN(N7*Settings!$B$15,Settings!$B$37)*Settings!$C$37+MAX(0,MIN(N7*Settings!$B$15,Settings!$B$38)-Settings!$B$37)*Settings!$C$38+MAX(0,MIN(N7*Settings!$B$15,Settings!$B$39)-Settings!$B$38)*Settings!$C$39+MAX(0,MIN(N7*Settings!$B$15,Settings!$B$40)-Settings!$B$39)*Settings!$C$40+MAX(0,N7*Settings!$B$15-Settings!$B$40)*Settings!$C$41)/Settings!$B$15,2)</x:f>
        <x:v>261.61</x:v>
      </x:c>
      <x:c r="T7" s="34" t="n">
        <x:f>ROUND(IF(N7*Settings!$B$15&lt;=20000,0,IF(N7*Settings!$B$15&lt;=36000,MIN(300,0.06*(N7*Settings!$B$15-20000)),IF(N7*Settings!$B$15&lt;=48000,MIN(450,300+0.06*(N7*Settings!$B$15-36000)),IF(N7*Settings!$B$15&lt;=72000,MIN(600,450+0.25*(N7*Settings!$B$15-48000)),IF(N7*Settings!$B$15&lt;=200000,MIN(750,600+0.25*(N7*Settings!$B$15-72000)),MIN(900,750+0.25*(N7*Settings!$B$15-200000)))))))/Settings!$B$15,2)</x:f>
        <x:v>50</x:v>
      </x:c>
      <x:c r="U7" s="34" t="n">
        <x:f>SUM(O7:T7)</x:f>
        <x:v>1345.5300000000002</x:v>
      </x:c>
      <x:c r="V7" s="34" t="n">
        <x:f>N7-U7</x:f>
        <x:v>3525.97</x:v>
      </x:c>
      <x:c r="W7" s="32" t="n">
        <x:f>IFERROR(VLOOKUP(A7,Employees!$A$4:$K$9,10,FALSE),0.04)</x:f>
        <x:v>0.04</x:v>
      </x:c>
      <x:c r="X7" s="22" t="n">
        <x:f>Settings!$B$4</x:f>
        <x:v>46266</x:v>
      </x:c>
      <x:c r="Y7" s="22" t="n">
        <x:f>Settings!$B$5</x:f>
        <x:v>46295</x:v>
      </x:c>
      <x:c r="Z7" t="str">
        <x:f>IF(AND(A7&lt;&gt;"",V7&gt;=0),"OK","Review")</x:f>
        <x:v>OK</x:v>
      </x:c>
    </x:row>
    <x:row r="8">
      <x:c r="A8" t="str">
        <x:v>EMP-005</x:v>
      </x:c>
      <x:c r="B8" t="str">
        <x:f>IFERROR(VLOOKUP(A8,Employees!$A$4:$K$9,2,FALSE),"")</x:f>
        <x:v>Sophia Nguyen</x:v>
      </x:c>
      <x:c r="C8" s="34" t="n">
        <x:f>IFERROR(VLOOKUP(A8,Employees!$A$4:$K$9,5,FALSE),0)</x:f>
        <x:v>31</x:v>
      </x:c>
      <x:c r="D8" s="46" t="n">
        <x:f>SUMIFS(Attendance!$P$4:$P$400,Attendance!$B$4:$B$400,$A8,Attendance!$A$4:$A$400,"&gt;="&amp;Settings!$B$4,Attendance!$A$4:$A$400,"&lt;="&amp;Settings!$B$5)</x:f>
        <x:v>184.26000000000002</x:v>
      </x:c>
      <x:c r="E8" s="46" t="n">
        <x:f>SUMIFS(Attendance!$Q$4:$Q$400,Attendance!$B$4:$B$400,$A8,Attendance!$A$4:$A$400,"&gt;="&amp;Settings!$B$4,Attendance!$A$4:$A$400,"&lt;="&amp;Settings!$B$5)</x:f>
        <x:v>2.75</x:v>
      </x:c>
      <x:c r="F8" s="46" t="n">
        <x:f>SUMIFS(Attendance!$K$4:$K$400,Attendance!$B$4:$B$400,$A8,Attendance!$J$4:$J$400,"Paid Leave",Attendance!$A$4:$A$400,"&gt;="&amp;Settings!$B$4,Attendance!$A$4:$A$400,"&lt;="&amp;Settings!$B$5)</x:f>
        <x:v>2</x:v>
      </x:c>
      <x:c r="G8" s="46" t="n">
        <x:f>SUMIFS(Attendance!$K$4:$K$400,Attendance!$B$4:$B$400,$A8,Attendance!$J$4:$J$400,"Public Holiday",Attendance!$A$4:$A$400,"&gt;="&amp;Settings!$B$4,Attendance!$A$4:$A$400,"&lt;="&amp;Settings!$B$5)</x:f>
        <x:v>8</x:v>
      </x:c>
      <x:c r="H8" s="46" t="n">
        <x:f>SUMIFS(Attendance!$K$4:$K$400,Attendance!$B$4:$B$400,$A8,Attendance!$J$4:$J$400,"Unpaid Leave",Attendance!$A$4:$A$400,"&gt;="&amp;Settings!$B$4,Attendance!$A$4:$A$400,"&lt;="&amp;Settings!$B$5)</x:f>
        <x:v>0</x:v>
      </x:c>
      <x:c r="I8" s="34" t="n">
        <x:f>ROUND(C8*D8,2)</x:f>
        <x:v>5712.06</x:v>
      </x:c>
      <x:c r="J8" s="34" t="n">
        <x:f>ROUND(C8*E8*Settings!$B$14,2)</x:f>
        <x:v>127.88</x:v>
      </x:c>
      <x:c r="K8" s="34" t="n">
        <x:f>ROUND(C8*F8,2)</x:f>
        <x:v>62</x:v>
      </x:c>
      <x:c r="L8" s="34" t="n">
        <x:f>ROUND(C8*G8,2)</x:f>
        <x:v>248</x:v>
      </x:c>
      <x:c r="M8" s="34" t="n">
        <x:f>ROUND((I8+J8+K8+L8)*W8,2)</x:f>
        <x:v>369</x:v>
      </x:c>
      <x:c r="N8" s="34" t="n">
        <x:f>SUM(I8:M8)</x:f>
        <x:v>6518.9400000000005</x:v>
      </x:c>
      <x:c r="O8" s="34" t="n">
        <x:f>ROUND(MIN(Settings!$B$19/Settings!$B$15,MAX(0,N8-Settings!$B$16/Settings!$B$15)*Settings!$B$17),2)</x:f>
        <x:v>352.54</x:v>
      </x:c>
      <x:c r="P8" s="34" t="n">
        <x:f>ROUND(MIN(Settings!$B$22/Settings!$B$15,MAX(0,MIN(N8*Settings!$B$15,Settings!$B$20)-Settings!$B$18)/Settings!$B$15*Settings!$B$21),2)</x:f>
        <x:v>12.09</x:v>
      </x:c>
      <x:c r="Q8" s="34" t="n">
        <x:f>ROUND(MIN(Settings!$B$25/Settings!$B$15,N8*Settings!$B$24),2)</x:f>
        <x:v>93.59</x:v>
      </x:c>
      <x:c r="R8" s="34" t="n">
        <x:f>ROUND((MIN(N8*Settings!$B$15,Settings!$B$29)*Settings!$C$29+MAX(0,MIN(N8*Settings!$B$15,Settings!$B$30)-Settings!$B$29)*Settings!$C$30+MAX(0,MIN(N8*Settings!$B$15,Settings!$B$31)-Settings!$B$30)*Settings!$C$31+MAX(0,MIN(N8*Settings!$B$15,Settings!$B$32)-Settings!$B$31)*Settings!$C$32+MAX(0,N8*Settings!$B$15-Settings!$B$32)*Settings!$C$33)/Settings!$B$15,2)</x:f>
        <x:v>1019.38</x:v>
      </x:c>
      <x:c r="S8" s="34" t="n">
        <x:f>ROUND((MIN(N8*Settings!$B$15,Settings!$B$37)*Settings!$C$37+MAX(0,MIN(N8*Settings!$B$15,Settings!$B$38)-Settings!$B$37)*Settings!$C$38+MAX(0,MIN(N8*Settings!$B$15,Settings!$B$39)-Settings!$B$38)*Settings!$C$39+MAX(0,MIN(N8*Settings!$B$15,Settings!$B$40)-Settings!$B$39)*Settings!$C$40+MAX(0,N8*Settings!$B$15-Settings!$B$40)*Settings!$C$41)/Settings!$B$15,2)</x:f>
        <x:v>412.36</x:v>
      </x:c>
      <x:c r="T8" s="34" t="n">
        <x:f>ROUND(IF(N8*Settings!$B$15&lt;=20000,0,IF(N8*Settings!$B$15&lt;=36000,MIN(300,0.06*(N8*Settings!$B$15-20000)),IF(N8*Settings!$B$15&lt;=48000,MIN(450,300+0.06*(N8*Settings!$B$15-36000)),IF(N8*Settings!$B$15&lt;=72000,MIN(600,450+0.25*(N8*Settings!$B$15-48000)),IF(N8*Settings!$B$15&lt;=200000,MIN(750,600+0.25*(N8*Settings!$B$15-72000)),MIN(900,750+0.25*(N8*Settings!$B$15-200000)))))))/Settings!$B$15,2)</x:f>
        <x:v>62.5</x:v>
      </x:c>
      <x:c r="U8" s="34" t="n">
        <x:f>SUM(O8:T8)</x:f>
        <x:v>1952.46</x:v>
      </x:c>
      <x:c r="V8" s="34" t="n">
        <x:f>N8-U8</x:f>
        <x:v>4566.4800000000005</x:v>
      </x:c>
      <x:c r="W8" s="32" t="n">
        <x:f>IFERROR(VLOOKUP(A8,Employees!$A$4:$K$9,10,FALSE),0.04)</x:f>
        <x:v>0.06</x:v>
      </x:c>
      <x:c r="X8" s="22" t="n">
        <x:f>Settings!$B$4</x:f>
        <x:v>46266</x:v>
      </x:c>
      <x:c r="Y8" s="22" t="n">
        <x:f>Settings!$B$5</x:f>
        <x:v>46295</x:v>
      </x:c>
      <x:c r="Z8" t="str">
        <x:f>IF(AND(A8&lt;&gt;"",V8&gt;=0),"OK","Review")</x:f>
        <x:v>OK</x:v>
      </x:c>
    </x:row>
    <x:row r="9">
      <x:c r="A9" t="str">
        <x:v>EMP-006</x:v>
      </x:c>
      <x:c r="B9" t="str">
        <x:f>IFERROR(VLOOKUP(A9,Employees!$A$4:$K$9,2,FALSE),"")</x:f>
        <x:v>Ethan Brown</x:v>
      </x:c>
      <x:c r="C9" s="34" t="n">
        <x:f>IFERROR(VLOOKUP(A9,Employees!$A$4:$K$9,5,FALSE),0)</x:f>
        <x:v>27.8</x:v>
      </x:c>
      <x:c r="D9" s="46" t="n">
        <x:f>SUMIFS(Attendance!$P$4:$P$400,Attendance!$B$4:$B$400,$A9,Attendance!$A$4:$A$400,"&gt;="&amp;Settings!$B$4,Attendance!$A$4:$A$400,"&lt;="&amp;Settings!$B$5)</x:f>
        <x:v>182.83</x:v>
      </x:c>
      <x:c r="E9" s="46" t="n">
        <x:f>SUMIFS(Attendance!$Q$4:$Q$400,Attendance!$B$4:$B$400,$A9,Attendance!$A$4:$A$400,"&gt;="&amp;Settings!$B$4,Attendance!$A$4:$A$400,"&lt;="&amp;Settings!$B$5)</x:f>
        <x:v>2.42</x:v>
      </x:c>
      <x:c r="F9" s="46" t="n">
        <x:f>SUMIFS(Attendance!$K$4:$K$400,Attendance!$B$4:$B$400,$A9,Attendance!$J$4:$J$400,"Paid Leave",Attendance!$A$4:$A$400,"&gt;="&amp;Settings!$B$4,Attendance!$A$4:$A$400,"&lt;="&amp;Settings!$B$5)</x:f>
        <x:v>0</x:v>
      </x:c>
      <x:c r="G9" s="46" t="n">
        <x:f>SUMIFS(Attendance!$K$4:$K$400,Attendance!$B$4:$B$400,$A9,Attendance!$J$4:$J$400,"Public Holiday",Attendance!$A$4:$A$400,"&gt;="&amp;Settings!$B$4,Attendance!$A$4:$A$400,"&lt;="&amp;Settings!$B$5)</x:f>
        <x:v>8</x:v>
      </x:c>
      <x:c r="H9" s="46" t="n">
        <x:f>SUMIFS(Attendance!$K$4:$K$400,Attendance!$B$4:$B$400,$A9,Attendance!$J$4:$J$400,"Unpaid Leave",Attendance!$A$4:$A$400,"&gt;="&amp;Settings!$B$4,Attendance!$A$4:$A$400,"&lt;="&amp;Settings!$B$5)</x:f>
        <x:v>4</x:v>
      </x:c>
      <x:c r="I9" s="34" t="n">
        <x:f>ROUND(C9*D9,2)</x:f>
        <x:v>5082.67</x:v>
      </x:c>
      <x:c r="J9" s="34" t="n">
        <x:f>ROUND(C9*E9*Settings!$B$14,2)</x:f>
        <x:v>100.91</x:v>
      </x:c>
      <x:c r="K9" s="34" t="n">
        <x:f>ROUND(C9*F9,2)</x:f>
        <x:v>0</x:v>
      </x:c>
      <x:c r="L9" s="34" t="n">
        <x:f>ROUND(C9*G9,2)</x:f>
        <x:v>222.4</x:v>
      </x:c>
      <x:c r="M9" s="34" t="n">
        <x:f>ROUND((I9+J9+K9+L9)*W9,2)</x:f>
        <x:v>216.24</x:v>
      </x:c>
      <x:c r="N9" s="34" t="n">
        <x:f>SUM(I9:M9)</x:f>
        <x:v>5622.219999999999</x:v>
      </x:c>
      <x:c r="O9" s="34" t="n">
        <x:f>ROUND(MIN(Settings!$B$19/Settings!$B$15,MAX(0,N9-Settings!$B$16/Settings!$B$15)*Settings!$B$17),2)</x:f>
        <x:v>317.17</x:v>
      </x:c>
      <x:c r="P9" s="34" t="n">
        <x:f>ROUND(MIN(Settings!$B$22/Settings!$B$15,MAX(0,MIN(N9*Settings!$B$15,Settings!$B$20)-Settings!$B$18)/Settings!$B$15*Settings!$B$21),2)</x:f>
        <x:v>0</x:v>
      </x:c>
      <x:c r="Q9" s="34" t="n">
        <x:f>ROUND(MIN(Settings!$B$25/Settings!$B$15,N9*Settings!$B$24),2)</x:f>
        <x:v>91.64</x:v>
      </x:c>
      <x:c r="R9" s="34" t="n">
        <x:f>ROUND((MIN(N9*Settings!$B$15,Settings!$B$29)*Settings!$C$29+MAX(0,MIN(N9*Settings!$B$15,Settings!$B$30)-Settings!$B$29)*Settings!$C$30+MAX(0,MIN(N9*Settings!$B$15,Settings!$B$31)-Settings!$B$30)*Settings!$C$31+MAX(0,MIN(N9*Settings!$B$15,Settings!$B$32)-Settings!$B$31)*Settings!$C$32+MAX(0,N9*Settings!$B$15-Settings!$B$32)*Settings!$C$33)/Settings!$B$15,2)</x:f>
        <x:v>835.56</x:v>
      </x:c>
      <x:c r="S9" s="34" t="n">
        <x:f>ROUND((MIN(N9*Settings!$B$15,Settings!$B$37)*Settings!$C$37+MAX(0,MIN(N9*Settings!$B$15,Settings!$B$38)-Settings!$B$37)*Settings!$C$38+MAX(0,MIN(N9*Settings!$B$15,Settings!$B$39)-Settings!$B$38)*Settings!$C$39+MAX(0,MIN(N9*Settings!$B$15,Settings!$B$40)-Settings!$B$39)*Settings!$C$40+MAX(0,N9*Settings!$B$15-Settings!$B$40)*Settings!$C$41)/Settings!$B$15,2)</x:f>
        <x:v>330.31</x:v>
      </x:c>
      <x:c r="T9" s="34" t="n">
        <x:f>ROUND(IF(N9*Settings!$B$15&lt;=20000,0,IF(N9*Settings!$B$15&lt;=36000,MIN(300,0.06*(N9*Settings!$B$15-20000)),IF(N9*Settings!$B$15&lt;=48000,MIN(450,300+0.06*(N9*Settings!$B$15-36000)),IF(N9*Settings!$B$15&lt;=72000,MIN(600,450+0.25*(N9*Settings!$B$15-48000)),IF(N9*Settings!$B$15&lt;=200000,MIN(750,600+0.25*(N9*Settings!$B$15-72000)),MIN(900,750+0.25*(N9*Settings!$B$15-200000)))))))/Settings!$B$15,2)</x:f>
        <x:v>50</x:v>
      </x:c>
      <x:c r="U9" s="34" t="n">
        <x:f>SUM(O9:T9)</x:f>
        <x:v>1624.6799999999998</x:v>
      </x:c>
      <x:c r="V9" s="34" t="n">
        <x:f>N9-U9</x:f>
        <x:v>3997.5399999999995</x:v>
      </x:c>
      <x:c r="W9" s="32" t="n">
        <x:f>IFERROR(VLOOKUP(A9,Employees!$A$4:$K$9,10,FALSE),0.04)</x:f>
        <x:v>0.04</x:v>
      </x:c>
      <x:c r="X9" s="22" t="n">
        <x:f>Settings!$B$4</x:f>
        <x:v>46266</x:v>
      </x:c>
      <x:c r="Y9" s="22" t="n">
        <x:f>Settings!$B$5</x:f>
        <x:v>46295</x:v>
      </x:c>
      <x:c r="Z9" t="str">
        <x:f>IF(AND(A9&lt;&gt;"",V9&gt;=0),"OK","Review")</x:f>
        <x:v>OK</x:v>
      </x:c>
    </x:row>
    <x:row r="12">
      <x:c r="A12" s="63" t="str">
        <x:v>Estimated deductions do not include employee TD1 claim codes, complete year-to-date deduction history, or every CRA payroll rule. Verify official remittances using CRA PDOC or compliant payroll software.</x:v>
      </x:c>
      <x:c r="B12" s="63"/>
      <x:c r="C12" s="63"/>
      <x:c r="D12" s="63"/>
      <x:c r="E12" s="63"/>
      <x:c r="F12" s="63"/>
      <x:c r="G12" s="63"/>
      <x:c r="H12" s="63"/>
      <x:c r="I12" s="63"/>
      <x:c r="J12" s="63"/>
      <x:c r="K12" s="63"/>
      <x:c r="L12" s="63"/>
      <x:c r="M12" s="63"/>
      <x:c r="N12" s="63"/>
      <x:c r="O12" s="63"/>
      <x:c r="P12" s="63"/>
      <x:c r="Q12" s="63"/>
      <x:c r="R12" s="63"/>
      <x:c r="S12" s="63"/>
      <x:c r="T12" s="63"/>
      <x:c r="U12" s="63"/>
      <x:c r="V12" s="63"/>
      <x:c r="W12" s="63"/>
      <x:c r="X12" s="63"/>
      <x:c r="Y12" s="63"/>
      <x:c r="Z12" s="63"/>
    </x:row>
  </x:sheetData>
  <x:mergeCells>
    <x:mergeCell ref="A1:Z1"/>
    <x:mergeCell ref="A12:Z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4" hidden="0" customWidth="1"/>
    <x:col min="4" max="4" width="4" hidden="0" customWidth="1"/>
  </x:cols>
  <x:sheetData>
    <x:row r="1" ht="28" customHeight="1">
      <x:c r="A1" s="3" t="str">
        <x:v>Employee Payslip - September 2026</x:v>
      </x:c>
    </x:row>
    <x:row r="3" ht="30" customHeight="1">
      <x:c r="A3" s="10" t="str">
        <x:v>Select Employee ID</x:v>
      </x:c>
      <x:c r="B3" s="67" t="str">
        <x:v>EMP-001</x:v>
      </x:c>
    </x:row>
    <x:row r="5">
      <x:c r="A5" s="71" t="str">
        <x:v>Employee Name</x:v>
      </x:c>
      <x:c r="B5" t="str">
        <x:f>IFERROR(VLOOKUP($B$3,'Payroll Calculation'!$A$4:$Z$9,2,FALSE),"")</x:f>
        <x:v>Olivia Martin</x:v>
      </x:c>
    </x:row>
    <x:row r="6">
      <x:c r="A6" s="71" t="str">
        <x:v>Department</x:v>
      </x:c>
      <x:c r="B6" t="str">
        <x:f>IFERROR(VLOOKUP($B$3,Employees!$A$4:$K$9,6,FALSE),"")</x:f>
        <x:v>Operations</x:v>
      </x:c>
    </x:row>
    <x:row r="7">
      <x:c r="A7" s="71" t="str">
        <x:v>Hourly Rate (CAD)</x:v>
      </x:c>
      <x:c r="B7" s="34" t="n">
        <x:f>IFERROR(VLOOKUP($B$3,'Payroll Calculation'!$A$4:$Z$9,3,FALSE),0)</x:f>
        <x:v>29.5</x:v>
      </x:c>
    </x:row>
    <x:row r="8">
      <x:c r="A8" s="71" t="str">
        <x:v>Regular Worked Hours</x:v>
      </x:c>
      <x:c r="B8" s="46" t="n">
        <x:f>IFERROR(VLOOKUP($B$3,'Payroll Calculation'!$A$4:$Z$9,4,FALSE),0)</x:f>
        <x:v>182.21000000000004</x:v>
      </x:c>
    </x:row>
    <x:row r="9">
      <x:c r="A9" s="71" t="str">
        <x:v>Overtime Hours</x:v>
      </x:c>
      <x:c r="B9" s="46" t="n">
        <x:f>IFERROR(VLOOKUP($B$3,'Payroll Calculation'!$A$4:$Z$9,5,FALSE),0)</x:f>
        <x:v>3.02</x:v>
      </x:c>
    </x:row>
    <x:row r="10">
      <x:c r="A10" s="71" t="str">
        <x:v>Paid Leave Hours</x:v>
      </x:c>
      <x:c r="B10" s="46" t="n">
        <x:f>IFERROR(VLOOKUP($B$3,'Payroll Calculation'!$A$4:$Z$9,6,FALSE),0)</x:f>
        <x:v>4</x:v>
      </x:c>
    </x:row>
    <x:row r="11">
      <x:c r="A11" s="71" t="str">
        <x:v>Public Holiday Hours</x:v>
      </x:c>
      <x:c r="B11" s="46" t="n">
        <x:f>IFERROR(VLOOKUP($B$3,'Payroll Calculation'!$A$4:$Z$9,7,FALSE),0)</x:f>
        <x:v>8</x:v>
      </x:c>
    </x:row>
    <x:row r="12">
      <x:c r="A12" s="71" t="str">
        <x:v>Vacation Pay (CAD)</x:v>
      </x:c>
      <x:c r="B12" s="34" t="n">
        <x:f>IFERROR(VLOOKUP($B$3,'Payroll Calculation'!$A$4:$Z$9,13,FALSE),0)</x:f>
        <x:v>234.51</x:v>
      </x:c>
    </x:row>
    <x:row r="13">
      <x:c r="A13" s="71" t="str">
        <x:v>Gross Pay (CAD)</x:v>
      </x:c>
      <x:c r="B13" s="34" t="n">
        <x:f>IFERROR(VLOOKUP($B$3,'Payroll Calculation'!$A$4:$Z$9,14,FALSE),0)</x:f>
        <x:v>6097.35</x:v>
      </x:c>
    </x:row>
    <x:row r="14">
      <x:c r="A14" s="71" t="str">
        <x:v>CPP (Est.)</x:v>
      </x:c>
      <x:c r="B14" s="34" t="n">
        <x:f>IFERROR(VLOOKUP($B$3,'Payroll Calculation'!$A$4:$Z$9,15,FALSE),0)</x:f>
        <x:v>345.44</x:v>
      </x:c>
    </x:row>
    <x:row r="15">
      <x:c r="A15" s="71" t="str">
        <x:v>CPP2 (Est.)</x:v>
      </x:c>
      <x:c r="B15" s="34" t="n">
        <x:f>IFERROR(VLOOKUP($B$3,'Payroll Calculation'!$A$4:$Z$9,16,FALSE),0)</x:f>
        <x:v>0</x:v>
      </x:c>
    </x:row>
    <x:row r="16">
      <x:c r="A16" s="71" t="str">
        <x:v>EI (Est.)</x:v>
      </x:c>
      <x:c r="B16" s="34" t="n">
        <x:f>IFERROR(VLOOKUP($B$3,'Payroll Calculation'!$A$4:$Z$9,17,FALSE),0)</x:f>
        <x:v>93.59</x:v>
      </x:c>
    </x:row>
    <x:row r="17">
      <x:c r="A17" s="71" t="str">
        <x:v>Federal Tax (Est.)</x:v>
      </x:c>
      <x:c r="B17" s="34" t="n">
        <x:f>IFERROR(VLOOKUP($B$3,'Payroll Calculation'!$A$4:$Z$9,18,FALSE),0)</x:f>
        <x:v>932.96</x:v>
      </x:c>
    </x:row>
    <x:row r="18">
      <x:c r="A18" s="71" t="str">
        <x:v>Ontario Tax (Est.)</x:v>
      </x:c>
      <x:c r="B18" s="34" t="n">
        <x:f>IFERROR(VLOOKUP($B$3,'Payroll Calculation'!$A$4:$Z$9,19,FALSE),0)</x:f>
        <x:v>373.78</x:v>
      </x:c>
    </x:row>
    <x:row r="19">
      <x:c r="A19" s="71" t="str">
        <x:v>Ontario Health Premium (Est.)</x:v>
      </x:c>
      <x:c r="B19" s="34" t="n">
        <x:f>IFERROR(VLOOKUP($B$3,'Payroll Calculation'!$A$4:$Z$9,20,FALSE),0)</x:f>
        <x:v>62.5</x:v>
      </x:c>
    </x:row>
    <x:row r="20">
      <x:c r="A20" s="71" t="str">
        <x:v>Total Deductions (Est.)</x:v>
      </x:c>
      <x:c r="B20" s="34" t="n">
        <x:f>IFERROR(VLOOKUP($B$3,'Payroll Calculation'!$A$4:$Z$9,21,FALSE),0)</x:f>
        <x:v>1808.27</x:v>
      </x:c>
    </x:row>
    <x:row r="21">
      <x:c r="A21" s="71" t="str">
        <x:v>Net Pay (Est.)</x:v>
      </x:c>
      <x:c r="B21" s="34" t="n">
        <x:f>IFERROR(VLOOKUP($B$3,'Payroll Calculation'!$A$4:$Z$9,22,FALSE),0)</x:f>
        <x:v>4289.08</x:v>
      </x:c>
    </x:row>
    <x:row r="22">
      <x:c r="A22" s="71" t="str">
        <x:v>Period Start</x:v>
      </x:c>
      <x:c r="B22" s="22" t="n">
        <x:f>IFERROR(VLOOKUP($B$3,'Payroll Calculation'!$A$4:$Z$9,24,FALSE),0)</x:f>
        <x:v>46266</x:v>
      </x:c>
    </x:row>
    <x:row r="23">
      <x:c r="A23" s="71" t="str">
        <x:v>Period End</x:v>
      </x:c>
      <x:c r="B23" s="22" t="n">
        <x:f>IFERROR(VLOOKUP($B$3,'Payroll Calculation'!$A$4:$Z$9,25,FALSE),0)</x:f>
        <x:v>46295</x:v>
      </x:c>
    </x:row>
    <x:row r="24">
      <x:c r="A24" s="71" t="str">
        <x:v>Pay Date</x:v>
      </x:c>
      <x:c r="B24" s="22" t="n">
        <x:f>Settings!$B$6</x:f>
        <x:v>46300</x:v>
      </x:c>
    </x:row>
    <x:row r="25">
      <x:c r="A25" s="71" t="str">
        <x:v>Control</x:v>
      </x:c>
      <x:c r="B25" t="str">
        <x:f>IFERROR(VLOOKUP($B$3,'Payroll Calculation'!$A$4:$Z$9,26,FALSE),0)</x:f>
        <x:v>OK</x:v>
      </x:c>
    </x:row>
  </x:sheetData>
  <x:mergeCells>
    <x:mergeCell ref="A1:D1"/>
  </x:mergeCells>
  <x:dataValidations count="1">
    <x:dataValidation type="list" sqref="B3">
      <x:formula1>"EMP-001,EMP-002,EMP-003,EMP-004,EMP-005,EMP-006"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6" hidden="0" customWidth="1"/>
    <x:col min="5" max="5" width="14" hidden="0" customWidth="1"/>
    <x:col min="6" max="6" width="24" hidden="0" customWidth="1"/>
    <x:col min="7" max="7" width="60" hidden="0" customWidth="1"/>
  </x:cols>
  <x:sheetData>
    <x:row r="1" ht="28" customHeight="1">
      <x:c r="A1" s="3" t="str">
        <x:v>Change Log</x:v>
      </x:c>
    </x:row>
    <x:row r="3" ht="30" customHeight="1">
      <x:c r="A3" s="10" t="str">
        <x:v>Date / Time</x:v>
      </x:c>
      <x:c r="B3" s="10" t="str">
        <x:v>User</x:v>
      </x:c>
      <x:c r="C3" s="10" t="str">
        <x:v>Action</x:v>
      </x:c>
      <x:c r="D3" s="10" t="str">
        <x:v>Data Type</x:v>
      </x:c>
      <x:c r="E3" s="10" t="str">
        <x:v>Reference</x:v>
      </x:c>
      <x:c r="F3" s="10" t="str">
        <x:v>Reason</x:v>
      </x:c>
      <x:c r="G3" s="10" t="str">
        <x:v>Notes</x:v>
      </x:c>
    </x:row>
    <x:row r="4">
      <x:c r="A4" s="74" t="n">
        <x:v>46277.8125</x:v>
      </x:c>
      <x:c r="B4" t="str">
        <x:v>System Administrator</x:v>
      </x:c>
      <x:c r="C4" t="str">
        <x:v>CREATE</x:v>
      </x:c>
      <x:c r="D4" t="str">
        <x:v>Workbook</x:v>
      </x:c>
      <x:c r="E4" t="str">
        <x:v>2026-09</x:v>
      </x:c>
      <x:c r="F4" t="str">
        <x:v>Initial population</x:v>
      </x:c>
      <x:c r="G4" t="str">
        <x:v>Created six sample employees, Ontario schedule, holidays, attendance and payroll calculations.</x:v>
      </x:c>
    </x:row>
    <x:row r="5">
      <x:c r="A5" s="74" t="n">
        <x:v>46277.813888888886</x:v>
      </x:c>
      <x:c r="B5" t="str">
        <x:v>System Administrator</x:v>
      </x:c>
      <x:c r="C5" t="str">
        <x:v>UPDATE</x:v>
      </x:c>
      <x:c r="D5" t="str">
        <x:v>Localization</x:v>
      </x:c>
      <x:c r="E5" t="str">
        <x:v>ALL</x:v>
      </x:c>
      <x:c r="F5" t="str">
        <x:v>English-only requirement</x:v>
      </x:c>
      <x:c r="G5" t="str">
        <x:v>Converted all workbook labels and narrative text to English.</x:v>
      </x:c>
    </x:row>
    <x:row r="6">
      <x:c r="A6" s="74" t="n">
        <x:v>46277.81527777778</x:v>
      </x:c>
      <x:c r="B6" t="str">
        <x:v>System Administrator</x:v>
      </x:c>
      <x:c r="C6" t="str">
        <x:v>UPDATE</x:v>
      </x:c>
      <x:c r="D6" t="str">
        <x:v>Compliance Logic</x:v>
      </x:c>
      <x:c r="E6" t="str">
        <x:v>Ontario</x:v>
      </x:c>
      <x:c r="F6" t="str">
        <x:v>Schedule and overtime</x:v>
      </x:c>
      <x:c r="G6" t="str">
        <x:v>Applied Monday-Saturday schedule, Sunday off, eating periods and 44-hour weekly overtime allocation.</x:v>
      </x:c>
    </x:row>
    <x:row r="7">
      <x:c r="A7" t="n">
        <x:v>46277.808333333334</x:v>
      </x:c>
      <x:c r="B7" t="str">
        <x:v>System Administrator</x:v>
      </x:c>
      <x:c r="C7" t="str">
        <x:v>UPDATE</x:v>
      </x:c>
      <x:c r="D7" t="str">
        <x:v>Work Schedule</x:v>
      </x:c>
      <x:c r="E7" t="str">
        <x:v>Saturday</x:v>
      </x:c>
      <x:c r="F7" t="str">
        <x:v>Saturday meal break correction</x:v>
      </x:c>
      <x:c r="G7" t="str">
        <x:v>Changed Saturday unpaid meal break from 0.5 to 1.0 hour; scheduled paid hours from 5.5 to 5.0; attendance, payroll and employee report values refreshed.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4" hidden="0" customWidth="1"/>
    <x:col min="4" max="4" width="11" hidden="0" customWidth="1"/>
    <x:col min="5" max="5" width="11" hidden="0" customWidth="1"/>
    <x:col min="6" max="6" width="9" hidden="0" customWidth="1"/>
    <x:col min="7" max="7" width="16" hidden="0" customWidth="1"/>
    <x:col min="8" max="8" width="11" hidden="0" customWidth="1"/>
    <x:col min="9" max="9" width="16" hidden="0" customWidth="1"/>
    <x:col min="10" max="10" width="16" hidden="0" customWidth="1"/>
    <x:col min="11" max="11" width="15" hidden="0" customWidth="1"/>
    <x:col min="12" max="12" width="42" hidden="0" customWidth="1"/>
  </x:cols>
  <x:sheetData>
    <x:row r="1" ht="28" customHeight="1">
      <x:c r="A1" s="3" t="str">
        <x:v>Employee Work &amp; Payroll Statement</x:v>
      </x:c>
    </x:row>
    <x:row r="3">
      <x:c r="A3" s="71" t="str">
        <x:v>Employer Legal Name</x:v>
      </x:c>
      <x:c r="B3" t="str">
        <x:f>Settings!$B$8</x:f>
        <x:v>REPLACE BEFORE OFFICIAL USE</x:v>
      </x:c>
      <x:c r="G3" s="71" t="str">
        <x:v>Reporting Period</x:v>
      </x:c>
      <x:c r="H3" t="str">
        <x:v>2026-09-01 to 2026-09-30</x:v>
      </x:c>
    </x:row>
    <x:row r="4">
      <x:c r="A4" s="71" t="str">
        <x:v>CRA Business Number</x:v>
      </x:c>
      <x:c r="B4" t="str">
        <x:f>Settings!$B$9</x:f>
        <x:v>REPLACE BEFORE OFFICIAL USE</x:v>
      </x:c>
      <x:c r="G4" s="71" t="str">
        <x:v>Pay Date</x:v>
      </x:c>
      <x:c r="H4" t="str">
        <x:v>2026-10-05</x:v>
      </x:c>
    </x:row>
    <x:row r="5">
      <x:c r="A5" s="71" t="str">
        <x:v>Employer Address</x:v>
      </x:c>
      <x:c r="B5" t="str">
        <x:f>Settings!$B$10&amp;", "&amp;Settings!$B$11</x:f>
        <x:v>REPLACE BEFORE OFFICIAL USE, REPLACE BEFORE OFFICIAL USE</x:v>
      </x:c>
      <x:c r="G5" s="71" t="str">
        <x:v>Province</x:v>
      </x:c>
      <x:c r="H5" t="str">
        <x:v>Ontario</x:v>
      </x:c>
    </x:row>
    <x:row r="7">
      <x:c r="A7" s="71" t="str">
        <x:v>Employee ID</x:v>
      </x:c>
      <x:c r="B7" t="str">
        <x:v>EMP-001</x:v>
      </x:c>
      <x:c r="C7" s="71" t="str">
        <x:v>Full Name</x:v>
      </x:c>
      <x:c r="D7" t="str">
        <x:v>Olivia Martin</x:v>
      </x:c>
      <x:c r="E7" s="71" t="str">
        <x:v>Department</x:v>
      </x:c>
      <x:c r="F7" t="str">
        <x:v>Operations</x:v>
      </x:c>
      <x:c r="G7" s="71" t="str">
        <x:v>Job Code</x:v>
      </x:c>
      <x:c r="H7" t="str">
        <x:v>OPS-02</x:v>
      </x:c>
      <x:c r="I7" s="71" t="str">
        <x:v>Hourly Rate (CAD)</x:v>
      </x:c>
      <x:c r="J7" s="34" t="n">
        <x:v>29.5</x:v>
      </x:c>
      <x:c r="K7" s="71" t="str">
        <x:v>Status</x:v>
      </x:c>
      <x:c r="L7" t="str">
        <x:v>Active</x:v>
      </x:c>
    </x:row>
    <x:row r="9" ht="22" customHeight="1">
      <x:c r="A9" s="19" t="str">
        <x:v>Payroll Summary</x:v>
      </x:c>
    </x:row>
    <x:row r="10" ht="30" customHeight="1">
      <x:c r="A10" s="10" t="str">
        <x:v>Regular Hours</x:v>
      </x:c>
      <x:c r="B10" s="10" t="str">
        <x:v>Overtime Hours</x:v>
      </x:c>
      <x:c r="C10" s="10" t="str">
        <x:v>Paid Leave Hours</x:v>
      </x:c>
      <x:c r="D10" s="10" t="str">
        <x:v>Public Holiday Hours</x:v>
      </x:c>
      <x:c r="E10" s="10" t="str">
        <x:v>Unpaid Leave Hours</x:v>
      </x:c>
      <x:c r="F10" s="10" t="str">
        <x:v>Gross Pay (CAD)</x:v>
      </x:c>
      <x:c r="G10" s="10" t="str">
        <x:v>CPP (Est.)</x:v>
      </x:c>
      <x:c r="H10" s="10" t="str">
        <x:v>CPP2 (Est.)</x:v>
      </x:c>
      <x:c r="I10" s="10" t="str">
        <x:v>EI (Est.)</x:v>
      </x:c>
      <x:c r="J10" s="10" t="str">
        <x:v>Tax (Est.)</x:v>
      </x:c>
      <x:c r="K10" s="10" t="str">
        <x:v>Total Deductions (Est.)</x:v>
      </x:c>
      <x:c r="L10" s="10" t="str">
        <x:v>Net Pay (Est.)</x:v>
      </x:c>
    </x:row>
    <x:row r="11">
      <x:c r="A11" s="46" t="n">
        <x:v>182.21000000000004</x:v>
      </x:c>
      <x:c r="B11" s="46" t="n">
        <x:v>3.02</x:v>
      </x:c>
      <x:c r="C11" s="46" t="n">
        <x:v>4</x:v>
      </x:c>
      <x:c r="D11" s="46" t="n">
        <x:v>8</x:v>
      </x:c>
      <x:c r="E11" s="46" t="n">
        <x:v>0</x:v>
      </x:c>
      <x:c r="F11" s="34" t="n">
        <x:v>6097.35</x:v>
      </x:c>
      <x:c r="G11" s="34" t="n">
        <x:v>345.44</x:v>
      </x:c>
      <x:c r="H11" s="34" t="n">
        <x:v>0</x:v>
      </x:c>
      <x:c r="I11" s="34" t="n">
        <x:v>93.59</x:v>
      </x:c>
      <x:c r="J11" s="34" t="n">
        <x:v>1369.24</x:v>
      </x:c>
      <x:c r="K11" s="34" t="n">
        <x:v>1808.27</x:v>
      </x:c>
      <x:c r="L11" s="34" t="n">
        <x:v>4289.08</x:v>
      </x:c>
    </x:row>
    <x:row r="13" ht="22" customHeight="1">
      <x:c r="A13" s="19" t="str">
        <x:v>Daily Work Record</x:v>
      </x:c>
    </x:row>
    <x:row r="14" ht="30" customHeight="1">
      <x:c r="A14" s="10" t="str">
        <x:v>Date</x:v>
      </x:c>
      <x:c r="B14" s="10" t="str">
        <x:v>Day</x:v>
      </x:c>
      <x:c r="C14" s="10" t="str">
        <x:v>Scheduled</x:v>
      </x:c>
      <x:c r="D14" s="10" t="str">
        <x:v>Clock In</x:v>
      </x:c>
      <x:c r="E14" s="10" t="str">
        <x:v>Clock Out</x:v>
      </x:c>
      <x:c r="F14" s="10" t="str">
        <x:v>Break</x:v>
      </x:c>
      <x:c r="G14" s="10" t="str">
        <x:v>Worked</x:v>
      </x:c>
      <x:c r="H14" s="10" t="str">
        <x:v>Regular</x:v>
      </x:c>
      <x:c r="I14" s="10" t="str">
        <x:v>Overtime</x:v>
      </x:c>
      <x:c r="J14" s="10" t="str">
        <x:v>Leave</x:v>
      </x:c>
      <x:c r="K14" s="10" t="str">
        <x:v>Status</x:v>
      </x:c>
      <x:c r="L14" s="10" t="str">
        <x:v>Notes</x:v>
      </x:c>
    </x:row>
    <x:row r="15">
      <x:c r="A15" s="22" t="n">
        <x:v>46266</x:v>
      </x:c>
      <x:c r="B15" t="str">
        <x:v>Tuesday</x:v>
      </x:c>
      <x:c r="C15" t="str">
        <x:v>08:00-17:00</x:v>
      </x:c>
      <x:c r="D15" t="str">
        <x:v>08:00</x:v>
      </x:c>
      <x:c r="E15" t="str">
        <x:v>17:00</x:v>
      </x:c>
      <x:c r="F15" s="46" t="n">
        <x:v>1</x:v>
      </x:c>
      <x:c r="G15" s="46" t="n">
        <x:v>8</x:v>
      </x:c>
      <x:c r="H15" s="46" t="n">
        <x:v>8</x:v>
      </x:c>
      <x:c r="I15" s="46" t="n">
        <x:v>0</x:v>
      </x:c>
      <x:c r="J15"/>
      <x:c r="K15" t="str">
        <x:v>On Time</x:v>
      </x:c>
      <x:c r="L15" s="16"/>
    </x:row>
    <x:row r="16">
      <x:c r="A16" s="22" t="n">
        <x:v>46267</x:v>
      </x:c>
      <x:c r="B16" t="str">
        <x:v>Wednesday</x:v>
      </x:c>
      <x:c r="C16" t="str">
        <x:v>08:00-17:00</x:v>
      </x:c>
      <x:c r="D16" t="str">
        <x:v>07:57</x:v>
      </x:c>
      <x:c r="E16" t="str">
        <x:v>16:58</x:v>
      </x:c>
      <x:c r="F16" s="46" t="n">
        <x:v>1</x:v>
      </x:c>
      <x:c r="G16" s="46" t="n">
        <x:v>8.02</x:v>
      </x:c>
      <x:c r="H16" s="46" t="n">
        <x:v>8.02</x:v>
      </x:c>
      <x:c r="I16" s="46" t="n">
        <x:v>0</x:v>
      </x:c>
      <x:c r="J16"/>
      <x:c r="K16" t="str">
        <x:v>Left Early</x:v>
      </x:c>
      <x:c r="L16" s="16"/>
    </x:row>
    <x:row r="17">
      <x:c r="A17" s="22" t="n">
        <x:v>46268</x:v>
      </x:c>
      <x:c r="B17" t="str">
        <x:v>Thursday</x:v>
      </x:c>
      <x:c r="C17" t="str">
        <x:v>08:00-17:00</x:v>
      </x:c>
      <x:c r="D17" t="str">
        <x:v>08:02</x:v>
      </x:c>
      <x:c r="E17" t="str">
        <x:v>17:05</x:v>
      </x:c>
      <x:c r="F17" s="46" t="n">
        <x:v>1</x:v>
      </x:c>
      <x:c r="G17" s="46" t="n">
        <x:v>8.05</x:v>
      </x:c>
      <x:c r="H17" s="46" t="n">
        <x:v>8.05</x:v>
      </x:c>
      <x:c r="I17" s="46" t="n">
        <x:v>0</x:v>
      </x:c>
      <x:c r="J17"/>
      <x:c r="K17" t="str">
        <x:v>Late</x:v>
      </x:c>
      <x:c r="L17" s="16"/>
    </x:row>
    <x:row r="18">
      <x:c r="A18" s="22" t="n">
        <x:v>46269</x:v>
      </x:c>
      <x:c r="B18" t="str">
        <x:v>Friday</x:v>
      </x:c>
      <x:c r="C18" t="str">
        <x:v>08:00-17:00</x:v>
      </x:c>
      <x:c r="D18" t="str">
        <x:v>08:02</x:v>
      </x:c>
      <x:c r="E18" t="str">
        <x:v>17:03</x:v>
      </x:c>
      <x:c r="F18" s="46" t="n">
        <x:v>1</x:v>
      </x:c>
      <x:c r="G18" s="46" t="n">
        <x:v>8.02</x:v>
      </x:c>
      <x:c r="H18" s="46" t="n">
        <x:v>8.02</x:v>
      </x:c>
      <x:c r="I18" s="46" t="n">
        <x:v>0</x:v>
      </x:c>
      <x:c r="J18"/>
      <x:c r="K18" t="str">
        <x:v>Late</x:v>
      </x:c>
      <x:c r="L18" s="16"/>
    </x:row>
    <x:row r="19">
      <x:c r="A19" s="22" t="n">
        <x:v>46270</x:v>
      </x:c>
      <x:c r="B19" t="str">
        <x:v>Saturday</x:v>
      </x:c>
      <x:c r="C19" t="str">
        <x:v>08:00-14:00</x:v>
      </x:c>
      <x:c r="D19" t="str">
        <x:v>07:57</x:v>
      </x:c>
      <x:c r="E19" t="str">
        <x:v>14:00</x:v>
      </x:c>
      <x:c r="F19" s="46" t="n">
        <x:v>1</x:v>
      </x:c>
      <x:c r="G19" s="46" t="n">
        <x:v>5.05</x:v>
      </x:c>
      <x:c r="H19" s="46" t="n">
        <x:v>3.74</x:v>
      </x:c>
      <x:c r="I19" s="46" t="n">
        <x:v>1.31</x:v>
      </x:c>
      <x:c r="J19"/>
      <x:c r="K19" t="str">
        <x:v>Overtime</x:v>
      </x:c>
      <x:c r="L19" s="16"/>
    </x:row>
    <x:row r="20">
      <x:c r="A20" s="22" t="n">
        <x:v>46272</x:v>
      </x:c>
      <x:c r="B20" t="str">
        <x:v>Monday</x:v>
      </x:c>
      <x:c r="C20" t="str">
        <x:v>08:00-17:00</x:v>
      </x:c>
      <x:c r="D20"/>
      <x:c r="E20"/>
      <x:c r="F20" s="46" t="n">
        <x:v>0</x:v>
      </x:c>
      <x:c r="G20" s="46" t="n">
        <x:v>0</x:v>
      </x:c>
      <x:c r="H20" s="46" t="n">
        <x:v>0</x:v>
      </x:c>
      <x:c r="I20" s="46" t="n">
        <x:v>0</x:v>
      </x:c>
      <x:c r="J20" t="str">
        <x:v>Public Holiday</x:v>
      </x:c>
      <x:c r="K20" t="str">
        <x:v>Public Holiday</x:v>
      </x:c>
      <x:c r="L20" s="16" t="str">
        <x:v>Labour Day</x:v>
      </x:c>
    </x:row>
    <x:row r="21">
      <x:c r="A21" s="22" t="n">
        <x:v>46273</x:v>
      </x:c>
      <x:c r="B21" t="str">
        <x:v>Tuesday</x:v>
      </x:c>
      <x:c r="C21" t="str">
        <x:v>08:00-17:00</x:v>
      </x:c>
      <x:c r="D21" t="str">
        <x:v>07:57</x:v>
      </x:c>
      <x:c r="E21" t="str">
        <x:v>17:03</x:v>
      </x:c>
      <x:c r="F21" s="46" t="n">
        <x:v>1</x:v>
      </x:c>
      <x:c r="G21" s="46" t="n">
        <x:v>8.1</x:v>
      </x:c>
      <x:c r="H21" s="46" t="n">
        <x:v>8.1</x:v>
      </x:c>
      <x:c r="I21" s="46" t="n">
        <x:v>0</x:v>
      </x:c>
      <x:c r="J21"/>
      <x:c r="K21" t="str">
        <x:v>On Time</x:v>
      </x:c>
      <x:c r="L21" s="16"/>
    </x:row>
    <x:row r="22">
      <x:c r="A22" s="22" t="n">
        <x:v>46274</x:v>
      </x:c>
      <x:c r="B22" t="str">
        <x:v>Wednesday</x:v>
      </x:c>
      <x:c r="C22" t="str">
        <x:v>08:00-17:00</x:v>
      </x:c>
      <x:c r="D22" t="str">
        <x:v>08:03</x:v>
      </x:c>
      <x:c r="E22" t="str">
        <x:v>17:04</x:v>
      </x:c>
      <x:c r="F22" s="46" t="n">
        <x:v>1</x:v>
      </x:c>
      <x:c r="G22" s="46" t="n">
        <x:v>8.02</x:v>
      </x:c>
      <x:c r="H22" s="46" t="n">
        <x:v>8.02</x:v>
      </x:c>
      <x:c r="I22" s="46" t="n">
        <x:v>0</x:v>
      </x:c>
      <x:c r="J22"/>
      <x:c r="K22" t="str">
        <x:v>Late</x:v>
      </x:c>
      <x:c r="L22" s="16" t="str">
        <x:v>Arrived 3 minutes late due to traffic.</x:v>
      </x:c>
    </x:row>
    <x:row r="23">
      <x:c r="A23" s="22" t="n">
        <x:v>46275</x:v>
      </x:c>
      <x:c r="B23" t="str">
        <x:v>Thursday</x:v>
      </x:c>
      <x:c r="C23" t="str">
        <x:v>08:00-17:00</x:v>
      </x:c>
      <x:c r="D23" t="str">
        <x:v>08:02</x:v>
      </x:c>
      <x:c r="E23" t="str">
        <x:v>16:58</x:v>
      </x:c>
      <x:c r="F23" s="46" t="n">
        <x:v>1</x:v>
      </x:c>
      <x:c r="G23" s="46" t="n">
        <x:v>7.93</x:v>
      </x:c>
      <x:c r="H23" s="46" t="n">
        <x:v>7.93</x:v>
      </x:c>
      <x:c r="I23" s="46" t="n">
        <x:v>0</x:v>
      </x:c>
      <x:c r="J23"/>
      <x:c r="K23" t="str">
        <x:v>Late</x:v>
      </x:c>
      <x:c r="L23" s="16"/>
    </x:row>
    <x:row r="24">
      <x:c r="A24" s="22" t="n">
        <x:v>46276</x:v>
      </x:c>
      <x:c r="B24" t="str">
        <x:v>Friday</x:v>
      </x:c>
      <x:c r="C24" t="str">
        <x:v>08:00-17:00</x:v>
      </x:c>
      <x:c r="D24" t="str">
        <x:v>08:02</x:v>
      </x:c>
      <x:c r="E24" t="str">
        <x:v>16:59</x:v>
      </x:c>
      <x:c r="F24" s="46" t="n">
        <x:v>1</x:v>
      </x:c>
      <x:c r="G24" s="46" t="n">
        <x:v>7.95</x:v>
      </x:c>
      <x:c r="H24" s="46" t="n">
        <x:v>7.95</x:v>
      </x:c>
      <x:c r="I24" s="46" t="n">
        <x:v>0</x:v>
      </x:c>
      <x:c r="J24"/>
      <x:c r="K24" t="str">
        <x:v>Late</x:v>
      </x:c>
      <x:c r="L24" s="16"/>
    </x:row>
    <x:row r="25">
      <x:c r="A25" s="22" t="n">
        <x:v>46277</x:v>
      </x:c>
      <x:c r="B25" t="str">
        <x:v>Saturday</x:v>
      </x:c>
      <x:c r="C25" t="str">
        <x:v>08:00-14:00</x:v>
      </x:c>
      <x:c r="D25" t="str">
        <x:v>08:00</x:v>
      </x:c>
      <x:c r="E25" t="str">
        <x:v>14:04</x:v>
      </x:c>
      <x:c r="F25" s="46" t="n">
        <x:v>1</x:v>
      </x:c>
      <x:c r="G25" s="46" t="n">
        <x:v>5.07</x:v>
      </x:c>
      <x:c r="H25" s="46" t="n">
        <x:v>5.07</x:v>
      </x:c>
      <x:c r="I25" s="46" t="n">
        <x:v>0</x:v>
      </x:c>
      <x:c r="J25"/>
      <x:c r="K25" t="str">
        <x:v>On Time</x:v>
      </x:c>
      <x:c r="L25" s="16"/>
    </x:row>
    <x:row r="26">
      <x:c r="A26" s="22" t="n">
        <x:v>46279</x:v>
      </x:c>
      <x:c r="B26" t="str">
        <x:v>Monday</x:v>
      </x:c>
      <x:c r="C26" t="str">
        <x:v>08:00-17:00</x:v>
      </x:c>
      <x:c r="D26" t="str">
        <x:v>07:56</x:v>
      </x:c>
      <x:c r="E26" t="str">
        <x:v>17:03</x:v>
      </x:c>
      <x:c r="F26" s="46" t="n">
        <x:v>1</x:v>
      </x:c>
      <x:c r="G26" s="46" t="n">
        <x:v>8.12</x:v>
      </x:c>
      <x:c r="H26" s="46" t="n">
        <x:v>8.12</x:v>
      </x:c>
      <x:c r="I26" s="46" t="n">
        <x:v>0</x:v>
      </x:c>
      <x:c r="J26"/>
      <x:c r="K26" t="str">
        <x:v>On Time</x:v>
      </x:c>
      <x:c r="L26" s="16"/>
    </x:row>
    <x:row r="27">
      <x:c r="A27" s="22" t="n">
        <x:v>46280</x:v>
      </x:c>
      <x:c r="B27" t="str">
        <x:v>Tuesday</x:v>
      </x:c>
      <x:c r="C27" t="str">
        <x:v>08:00-17:00</x:v>
      </x:c>
      <x:c r="D27" t="str">
        <x:v>08:01</x:v>
      </x:c>
      <x:c r="E27" t="str">
        <x:v>16:59</x:v>
      </x:c>
      <x:c r="F27" s="46" t="n">
        <x:v>1</x:v>
      </x:c>
      <x:c r="G27" s="46" t="n">
        <x:v>7.97</x:v>
      </x:c>
      <x:c r="H27" s="46" t="n">
        <x:v>7.97</x:v>
      </x:c>
      <x:c r="I27" s="46" t="n">
        <x:v>0</x:v>
      </x:c>
      <x:c r="J27"/>
      <x:c r="K27" t="str">
        <x:v>Late</x:v>
      </x:c>
      <x:c r="L27" s="16"/>
    </x:row>
    <x:row r="28">
      <x:c r="A28" s="22" t="n">
        <x:v>46281</x:v>
      </x:c>
      <x:c r="B28" t="str">
        <x:v>Wednesday</x:v>
      </x:c>
      <x:c r="C28" t="str">
        <x:v>08:00-17:00</x:v>
      </x:c>
      <x:c r="D28" t="str">
        <x:v>08:00</x:v>
      </x:c>
      <x:c r="E28" t="str">
        <x:v>12:00</x:v>
      </x:c>
      <x:c r="F28" s="46" t="n">
        <x:v>0</x:v>
      </x:c>
      <x:c r="G28" s="46" t="n">
        <x:v>4</x:v>
      </x:c>
      <x:c r="H28" s="46" t="n">
        <x:v>4</x:v>
      </x:c>
      <x:c r="I28" s="46" t="n">
        <x:v>0</x:v>
      </x:c>
      <x:c r="J28" t="str">
        <x:v>Paid Leave</x:v>
      </x:c>
      <x:c r="K28" t="str">
        <x:v>Paid Leave</x:v>
      </x:c>
      <x:c r="L28" s="16" t="str">
        <x:v>Approved half-day paid leave (afternoon).</x:v>
      </x:c>
    </x:row>
    <x:row r="29">
      <x:c r="A29" s="22" t="n">
        <x:v>46282</x:v>
      </x:c>
      <x:c r="B29" t="str">
        <x:v>Thursday</x:v>
      </x:c>
      <x:c r="C29" t="str">
        <x:v>08:00-17:00</x:v>
      </x:c>
      <x:c r="D29" t="str">
        <x:v>07:57</x:v>
      </x:c>
      <x:c r="E29" t="str">
        <x:v>17:00</x:v>
      </x:c>
      <x:c r="F29" s="46" t="n">
        <x:v>1</x:v>
      </x:c>
      <x:c r="G29" s="46" t="n">
        <x:v>8.05</x:v>
      </x:c>
      <x:c r="H29" s="46" t="n">
        <x:v>8.05</x:v>
      </x:c>
      <x:c r="I29" s="46" t="n">
        <x:v>0</x:v>
      </x:c>
      <x:c r="J29"/>
      <x:c r="K29" t="str">
        <x:v>On Time</x:v>
      </x:c>
      <x:c r="L29" s="16"/>
    </x:row>
    <x:row r="30">
      <x:c r="A30" s="22" t="n">
        <x:v>46283</x:v>
      </x:c>
      <x:c r="B30" t="str">
        <x:v>Friday</x:v>
      </x:c>
      <x:c r="C30" t="str">
        <x:v>08:00-17:00</x:v>
      </x:c>
      <x:c r="D30" t="str">
        <x:v>07:59</x:v>
      </x:c>
      <x:c r="E30" t="str">
        <x:v>17:00</x:v>
      </x:c>
      <x:c r="F30" s="46" t="n">
        <x:v>1</x:v>
      </x:c>
      <x:c r="G30" s="46" t="n">
        <x:v>8.02</x:v>
      </x:c>
      <x:c r="H30" s="46" t="n">
        <x:v>8.02</x:v>
      </x:c>
      <x:c r="I30" s="46" t="n">
        <x:v>0</x:v>
      </x:c>
      <x:c r="J30"/>
      <x:c r="K30" t="str">
        <x:v>On Time</x:v>
      </x:c>
      <x:c r="L30" s="16"/>
    </x:row>
    <x:row r="31">
      <x:c r="A31" s="22" t="n">
        <x:v>46284</x:v>
      </x:c>
      <x:c r="B31" t="str">
        <x:v>Saturday</x:v>
      </x:c>
      <x:c r="C31" t="str">
        <x:v>08:00-14:00</x:v>
      </x:c>
      <x:c r="D31" t="str">
        <x:v>07:57</x:v>
      </x:c>
      <x:c r="E31" t="str">
        <x:v>14:00</x:v>
      </x:c>
      <x:c r="F31" s="46" t="n">
        <x:v>1</x:v>
      </x:c>
      <x:c r="G31" s="46" t="n">
        <x:v>5.05</x:v>
      </x:c>
      <x:c r="H31" s="46" t="n">
        <x:v>5.05</x:v>
      </x:c>
      <x:c r="I31" s="46" t="n">
        <x:v>0</x:v>
      </x:c>
      <x:c r="J31"/>
      <x:c r="K31" t="str">
        <x:v>On Time</x:v>
      </x:c>
      <x:c r="L31" s="16"/>
    </x:row>
    <x:row r="32">
      <x:c r="A32" s="22" t="n">
        <x:v>46286</x:v>
      </x:c>
      <x:c r="B32" t="str">
        <x:v>Monday</x:v>
      </x:c>
      <x:c r="C32" t="str">
        <x:v>08:00-17:00</x:v>
      </x:c>
      <x:c r="D32" t="str">
        <x:v>07:59</x:v>
      </x:c>
      <x:c r="E32" t="str">
        <x:v>17:01</x:v>
      </x:c>
      <x:c r="F32" s="46" t="n">
        <x:v>1</x:v>
      </x:c>
      <x:c r="G32" s="46" t="n">
        <x:v>8.03</x:v>
      </x:c>
      <x:c r="H32" s="46" t="n">
        <x:v>8.03</x:v>
      </x:c>
      <x:c r="I32" s="46" t="n">
        <x:v>0</x:v>
      </x:c>
      <x:c r="J32"/>
      <x:c r="K32" t="str">
        <x:v>On Time</x:v>
      </x:c>
      <x:c r="L32" s="16"/>
    </x:row>
    <x:row r="33">
      <x:c r="A33" s="22" t="n">
        <x:v>46287</x:v>
      </x:c>
      <x:c r="B33" t="str">
        <x:v>Tuesday</x:v>
      </x:c>
      <x:c r="C33" t="str">
        <x:v>08:00-17:00</x:v>
      </x:c>
      <x:c r="D33" t="str">
        <x:v>07:58</x:v>
      </x:c>
      <x:c r="E33" t="str">
        <x:v>17:30</x:v>
      </x:c>
      <x:c r="F33" s="46" t="n">
        <x:v>1</x:v>
      </x:c>
      <x:c r="G33" s="46" t="n">
        <x:v>8.53</x:v>
      </x:c>
      <x:c r="H33" s="46" t="n">
        <x:v>8.53</x:v>
      </x:c>
      <x:c r="I33" s="46" t="n">
        <x:v>0</x:v>
      </x:c>
      <x:c r="J33"/>
      <x:c r="K33" t="str">
        <x:v>On Time</x:v>
      </x:c>
      <x:c r="L33" s="16" t="str">
        <x:v>Stayed 30 minutes for month-end operational handover.</x:v>
      </x:c>
    </x:row>
    <x:row r="34">
      <x:c r="A34" s="22" t="n">
        <x:v>46288</x:v>
      </x:c>
      <x:c r="B34" t="str">
        <x:v>Wednesday</x:v>
      </x:c>
      <x:c r="C34" t="str">
        <x:v>08:00-17:00</x:v>
      </x:c>
      <x:c r="D34" t="str">
        <x:v>07:58</x:v>
      </x:c>
      <x:c r="E34" t="str">
        <x:v>16:59</x:v>
      </x:c>
      <x:c r="F34" s="46" t="n">
        <x:v>1</x:v>
      </x:c>
      <x:c r="G34" s="46" t="n">
        <x:v>8.02</x:v>
      </x:c>
      <x:c r="H34" s="46" t="n">
        <x:v>8.02</x:v>
      </x:c>
      <x:c r="I34" s="46" t="n">
        <x:v>0</x:v>
      </x:c>
      <x:c r="J34"/>
      <x:c r="K34" t="str">
        <x:v>Left Early</x:v>
      </x:c>
      <x:c r="L34" s="16"/>
    </x:row>
    <x:row r="35">
      <x:c r="A35" s="22" t="n">
        <x:v>46289</x:v>
      </x:c>
      <x:c r="B35" t="str">
        <x:v>Thursday</x:v>
      </x:c>
      <x:c r="C35" t="str">
        <x:v>08:00-17:00</x:v>
      </x:c>
      <x:c r="D35" t="str">
        <x:v>07:58</x:v>
      </x:c>
      <x:c r="E35" t="str">
        <x:v>17:00</x:v>
      </x:c>
      <x:c r="F35" s="46" t="n">
        <x:v>1</x:v>
      </x:c>
      <x:c r="G35" s="46" t="n">
        <x:v>8.03</x:v>
      </x:c>
      <x:c r="H35" s="46" t="n">
        <x:v>8.03</x:v>
      </x:c>
      <x:c r="I35" s="46" t="n">
        <x:v>0</x:v>
      </x:c>
      <x:c r="J35"/>
      <x:c r="K35" t="str">
        <x:v>On Time</x:v>
      </x:c>
      <x:c r="L35" s="16"/>
    </x:row>
    <x:row r="36">
      <x:c r="A36" s="22" t="n">
        <x:v>46290</x:v>
      </x:c>
      <x:c r="B36" t="str">
        <x:v>Friday</x:v>
      </x:c>
      <x:c r="C36" t="str">
        <x:v>08:00-17:00</x:v>
      </x:c>
      <x:c r="D36" t="str">
        <x:v>08:01</x:v>
      </x:c>
      <x:c r="E36" t="str">
        <x:v>17:03</x:v>
      </x:c>
      <x:c r="F36" s="46" t="n">
        <x:v>1</x:v>
      </x:c>
      <x:c r="G36" s="46" t="n">
        <x:v>8.03</x:v>
      </x:c>
      <x:c r="H36" s="46" t="n">
        <x:v>8.03</x:v>
      </x:c>
      <x:c r="I36" s="46" t="n">
        <x:v>0</x:v>
      </x:c>
      <x:c r="J36"/>
      <x:c r="K36" t="str">
        <x:v>Late</x:v>
      </x:c>
      <x:c r="L36" s="16"/>
    </x:row>
    <x:row r="37">
      <x:c r="A37" s="22" t="n">
        <x:v>46291</x:v>
      </x:c>
      <x:c r="B37" t="str">
        <x:v>Saturday</x:v>
      </x:c>
      <x:c r="C37" t="str">
        <x:v>08:00-14:00</x:v>
      </x:c>
      <x:c r="D37" t="str">
        <x:v>07:57</x:v>
      </x:c>
      <x:c r="E37" t="str">
        <x:v>14:01</x:v>
      </x:c>
      <x:c r="F37" s="46" t="n">
        <x:v>1</x:v>
      </x:c>
      <x:c r="G37" s="46" t="n">
        <x:v>5.07</x:v>
      </x:c>
      <x:c r="H37" s="46" t="n">
        <x:v>3.36</x:v>
      </x:c>
      <x:c r="I37" s="46" t="n">
        <x:v>1.71</x:v>
      </x:c>
      <x:c r="J37"/>
      <x:c r="K37" t="str">
        <x:v>Overtime</x:v>
      </x:c>
      <x:c r="L37" s="16"/>
    </x:row>
    <x:row r="38">
      <x:c r="A38" s="22" t="n">
        <x:v>46293</x:v>
      </x:c>
      <x:c r="B38" t="str">
        <x:v>Monday</x:v>
      </x:c>
      <x:c r="C38" t="str">
        <x:v>08:00-17:00</x:v>
      </x:c>
      <x:c r="D38" t="str">
        <x:v>08:00</x:v>
      </x:c>
      <x:c r="E38" t="str">
        <x:v>16:58</x:v>
      </x:c>
      <x:c r="F38" s="46" t="n">
        <x:v>1</x:v>
      </x:c>
      <x:c r="G38" s="46" t="n">
        <x:v>7.97</x:v>
      </x:c>
      <x:c r="H38" s="46" t="n">
        <x:v>7.97</x:v>
      </x:c>
      <x:c r="I38" s="46" t="n">
        <x:v>0</x:v>
      </x:c>
      <x:c r="J38"/>
      <x:c r="K38" t="str">
        <x:v>Left Early</x:v>
      </x:c>
      <x:c r="L38" s="16"/>
    </x:row>
    <x:row r="39">
      <x:c r="A39" s="22" t="n">
        <x:v>46294</x:v>
      </x:c>
      <x:c r="B39" t="str">
        <x:v>Tuesday</x:v>
      </x:c>
      <x:c r="C39" t="str">
        <x:v>08:00-17:00</x:v>
      </x:c>
      <x:c r="D39" t="str">
        <x:v>07:56</x:v>
      </x:c>
      <x:c r="E39" t="str">
        <x:v>17:01</x:v>
      </x:c>
      <x:c r="F39" s="46" t="n">
        <x:v>1</x:v>
      </x:c>
      <x:c r="G39" s="46" t="n">
        <x:v>8.08</x:v>
      </x:c>
      <x:c r="H39" s="46" t="n">
        <x:v>8.08</x:v>
      </x:c>
      <x:c r="I39" s="46" t="n">
        <x:v>0</x:v>
      </x:c>
      <x:c r="J39"/>
      <x:c r="K39" t="str">
        <x:v>On Time</x:v>
      </x:c>
      <x:c r="L39" s="16"/>
    </x:row>
    <x:row r="40">
      <x:c r="A40" s="22" t="n">
        <x:v>46295</x:v>
      </x:c>
      <x:c r="B40" t="str">
        <x:v>Wednesday</x:v>
      </x:c>
      <x:c r="C40" t="str">
        <x:v>08:00-17:00</x:v>
      </x:c>
      <x:c r="D40" t="str">
        <x:v>07:59</x:v>
      </x:c>
      <x:c r="E40" t="str">
        <x:v>17:02</x:v>
      </x:c>
      <x:c r="F40" s="46" t="n">
        <x:v>1</x:v>
      </x:c>
      <x:c r="G40" s="46" t="n">
        <x:v>8.05</x:v>
      </x:c>
      <x:c r="H40" s="46" t="n">
        <x:v>8.05</x:v>
      </x:c>
      <x:c r="I40" s="46" t="n">
        <x:v>0</x:v>
      </x:c>
      <x:c r="J40"/>
      <x:c r="K40" t="str">
        <x:v>On Time</x:v>
      </x:c>
      <x:c r="L40" s="16"/>
    </x:row>
    <x:row r="42" ht="34" customHeight="1">
      <x:c r="A42" s="77" t="str">
        <x:v>Certification: This statement summarizes recorded work time and payroll calculation for the reporting period. Employer identifiers and estimated payroll deductions must be verified before official submission.</x:v>
      </x:c>
    </x:row>
    <x:row r="44">
      <x:c r="A44" t="str">
        <x:v>Authorized Employer Representative</x:v>
      </x:c>
      <x:c r="B44" t="str"/>
      <x:c r="C44" t="str"/>
      <x:c r="D44" t="str"/>
      <x:c r="E44" t="str"/>
      <x:c r="F44" t="str">
        <x:v>Employee Acknowledgement</x:v>
      </x:c>
      <x:c r="G44" t="str"/>
      <x:c r="H44" t="str"/>
      <x:c r="I44" t="str"/>
      <x:c r="J44" t="str"/>
      <x:c r="K44" t="str">
        <x:v>Date</x:v>
      </x:c>
      <x:c r="L44" t="str"/>
    </x:row>
    <x:row r="45">
      <x:c r="A45" t="str">
        <x:v>Signature: __________________________</x:v>
      </x:c>
      <x:c r="B45" t="str"/>
      <x:c r="C45" t="str"/>
      <x:c r="D45" t="str"/>
      <x:c r="E45" t="str"/>
      <x:c r="F45" t="str">
        <x:v>Signature: __________________________</x:v>
      </x:c>
      <x:c r="G45" t="str"/>
      <x:c r="H45" t="str"/>
      <x:c r="I45" t="str"/>
      <x:c r="J45" t="str"/>
      <x:c r="K45" t="str">
        <x:v>________________</x:v>
      </x:c>
      <x:c r="L45" t="str"/>
    </x:row>
  </x:sheetData>
  <x:mergeCells>
    <x:mergeCell ref="A1:L1"/>
    <x:mergeCell ref="B3:F3"/>
    <x:mergeCell ref="B4:F4"/>
    <x:mergeCell ref="B5:F5"/>
    <x:mergeCell ref="H3:L3"/>
    <x:mergeCell ref="H4:L4"/>
    <x:mergeCell ref="H5:L5"/>
    <x:mergeCell ref="A9:L9"/>
    <x:mergeCell ref="A13:L13"/>
    <x:mergeCell ref="A42:L4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4" hidden="0" customWidth="1"/>
    <x:col min="4" max="4" width="11" hidden="0" customWidth="1"/>
    <x:col min="5" max="5" width="11" hidden="0" customWidth="1"/>
    <x:col min="6" max="6" width="9" hidden="0" customWidth="1"/>
    <x:col min="7" max="7" width="16" hidden="0" customWidth="1"/>
    <x:col min="8" max="8" width="11" hidden="0" customWidth="1"/>
    <x:col min="9" max="9" width="16" hidden="0" customWidth="1"/>
    <x:col min="10" max="10" width="16" hidden="0" customWidth="1"/>
    <x:col min="11" max="11" width="15" hidden="0" customWidth="1"/>
    <x:col min="12" max="12" width="42" hidden="0" customWidth="1"/>
  </x:cols>
  <x:sheetData>
    <x:row r="1" ht="28" customHeight="1">
      <x:c r="A1" s="3" t="str">
        <x:v>Employee Work &amp; Payroll Statement</x:v>
      </x:c>
    </x:row>
    <x:row r="3">
      <x:c r="A3" s="71" t="str">
        <x:v>Employer Legal Name</x:v>
      </x:c>
      <x:c r="B3" t="str">
        <x:f>Settings!$B$8</x:f>
        <x:v>REPLACE BEFORE OFFICIAL USE</x:v>
      </x:c>
      <x:c r="G3" s="71" t="str">
        <x:v>Reporting Period</x:v>
      </x:c>
      <x:c r="H3" t="str">
        <x:v>2026-09-01 to 2026-09-30</x:v>
      </x:c>
    </x:row>
    <x:row r="4">
      <x:c r="A4" s="71" t="str">
        <x:v>CRA Business Number</x:v>
      </x:c>
      <x:c r="B4" t="str">
        <x:f>Settings!$B$9</x:f>
        <x:v>REPLACE BEFORE OFFICIAL USE</x:v>
      </x:c>
      <x:c r="G4" s="71" t="str">
        <x:v>Pay Date</x:v>
      </x:c>
      <x:c r="H4" t="str">
        <x:v>2026-10-05</x:v>
      </x:c>
    </x:row>
    <x:row r="5">
      <x:c r="A5" s="71" t="str">
        <x:v>Employer Address</x:v>
      </x:c>
      <x:c r="B5" t="str">
        <x:f>Settings!$B$10&amp;", "&amp;Settings!$B$11</x:f>
        <x:v>REPLACE BEFORE OFFICIAL USE, REPLACE BEFORE OFFICIAL USE</x:v>
      </x:c>
      <x:c r="G5" s="71" t="str">
        <x:v>Province</x:v>
      </x:c>
      <x:c r="H5" t="str">
        <x:v>Ontario</x:v>
      </x:c>
    </x:row>
    <x:row r="7">
      <x:c r="A7" s="71" t="str">
        <x:v>Employee ID</x:v>
      </x:c>
      <x:c r="B7" t="str">
        <x:v>EMP-002</x:v>
      </x:c>
      <x:c r="C7" s="71" t="str">
        <x:v>Full Name</x:v>
      </x:c>
      <x:c r="D7" t="str">
        <x:v>Liam Chen</x:v>
      </x:c>
      <x:c r="E7" s="71" t="str">
        <x:v>Department</x:v>
      </x:c>
      <x:c r="F7" t="str">
        <x:v>Warehouse</x:v>
      </x:c>
      <x:c r="G7" s="71" t="str">
        <x:v>Job Code</x:v>
      </x:c>
      <x:c r="H7" t="str">
        <x:v>WH-03</x:v>
      </x:c>
      <x:c r="I7" s="71" t="str">
        <x:v>Hourly Rate (CAD)</x:v>
      </x:c>
      <x:c r="J7" s="34" t="n">
        <x:v>26.75</x:v>
      </x:c>
      <x:c r="K7" s="71" t="str">
        <x:v>Status</x:v>
      </x:c>
      <x:c r="L7" t="str">
        <x:v>Active</x:v>
      </x:c>
    </x:row>
    <x:row r="9" ht="22" customHeight="1">
      <x:c r="A9" s="19" t="str">
        <x:v>Payroll Summary</x:v>
      </x:c>
    </x:row>
    <x:row r="10" ht="30" customHeight="1">
      <x:c r="A10" s="10" t="str">
        <x:v>Regular Hours</x:v>
      </x:c>
      <x:c r="B10" s="10" t="str">
        <x:v>Overtime Hours</x:v>
      </x:c>
      <x:c r="C10" s="10" t="str">
        <x:v>Paid Leave Hours</x:v>
      </x:c>
      <x:c r="D10" s="10" t="str">
        <x:v>Public Holiday Hours</x:v>
      </x:c>
      <x:c r="E10" s="10" t="str">
        <x:v>Unpaid Leave Hours</x:v>
      </x:c>
      <x:c r="F10" s="10" t="str">
        <x:v>Gross Pay (CAD)</x:v>
      </x:c>
      <x:c r="G10" s="10" t="str">
        <x:v>CPP (Est.)</x:v>
      </x:c>
      <x:c r="H10" s="10" t="str">
        <x:v>CPP2 (Est.)</x:v>
      </x:c>
      <x:c r="I10" s="10" t="str">
        <x:v>EI (Est.)</x:v>
      </x:c>
      <x:c r="J10" s="10" t="str">
        <x:v>Tax (Est.)</x:v>
      </x:c>
      <x:c r="K10" s="10" t="str">
        <x:v>Total Deductions (Est.)</x:v>
      </x:c>
      <x:c r="L10" s="10" t="str">
        <x:v>Net Pay (Est.)</x:v>
      </x:c>
    </x:row>
    <x:row r="11">
      <x:c r="A11" s="46" t="n">
        <x:v>179.16</x:v>
      </x:c>
      <x:c r="B11" s="46" t="n">
        <x:v>2.41</x:v>
      </x:c>
      <x:c r="C11" s="46" t="n">
        <x:v>0</x:v>
      </x:c>
      <x:c r="D11" s="46" t="n">
        <x:v>8</x:v>
      </x:c>
      <x:c r="E11" s="46" t="n">
        <x:v>8</x:v>
      </x:c>
      <x:c r="F11" s="34" t="n">
        <x:v>5307.36</x:v>
      </x:c>
      <x:c r="G11" s="34" t="n">
        <x:v>298.43</x:v>
      </x:c>
      <x:c r="H11" s="34" t="n">
        <x:v>0</x:v>
      </x:c>
      <x:c r="I11" s="34" t="n">
        <x:v>86.51</x:v>
      </x:c>
      <x:c r="J11" s="34" t="n">
        <x:v>1122.51</x:v>
      </x:c>
      <x:c r="K11" s="34" t="n">
        <x:v>1507.45</x:v>
      </x:c>
      <x:c r="L11" s="34" t="n">
        <x:v>3799.91</x:v>
      </x:c>
    </x:row>
    <x:row r="13" ht="22" customHeight="1">
      <x:c r="A13" s="19" t="str">
        <x:v>Daily Work Record</x:v>
      </x:c>
    </x:row>
    <x:row r="14" ht="30" customHeight="1">
      <x:c r="A14" s="10" t="str">
        <x:v>Date</x:v>
      </x:c>
      <x:c r="B14" s="10" t="str">
        <x:v>Day</x:v>
      </x:c>
      <x:c r="C14" s="10" t="str">
        <x:v>Scheduled</x:v>
      </x:c>
      <x:c r="D14" s="10" t="str">
        <x:v>Clock In</x:v>
      </x:c>
      <x:c r="E14" s="10" t="str">
        <x:v>Clock Out</x:v>
      </x:c>
      <x:c r="F14" s="10" t="str">
        <x:v>Break</x:v>
      </x:c>
      <x:c r="G14" s="10" t="str">
        <x:v>Worked</x:v>
      </x:c>
      <x:c r="H14" s="10" t="str">
        <x:v>Regular</x:v>
      </x:c>
      <x:c r="I14" s="10" t="str">
        <x:v>Overtime</x:v>
      </x:c>
      <x:c r="J14" s="10" t="str">
        <x:v>Leave</x:v>
      </x:c>
      <x:c r="K14" s="10" t="str">
        <x:v>Status</x:v>
      </x:c>
      <x:c r="L14" s="10" t="str">
        <x:v>Notes</x:v>
      </x:c>
    </x:row>
    <x:row r="15">
      <x:c r="A15" s="22" t="n">
        <x:v>46266</x:v>
      </x:c>
      <x:c r="B15" t="str">
        <x:v>Tuesday</x:v>
      </x:c>
      <x:c r="C15" t="str">
        <x:v>08:00-17:00</x:v>
      </x:c>
      <x:c r="D15" t="str">
        <x:v>07:58</x:v>
      </x:c>
      <x:c r="E15" t="str">
        <x:v>17:00</x:v>
      </x:c>
      <x:c r="F15" s="46" t="n">
        <x:v>1</x:v>
      </x:c>
      <x:c r="G15" s="46" t="n">
        <x:v>8.03</x:v>
      </x:c>
      <x:c r="H15" s="46" t="n">
        <x:v>8.03</x:v>
      </x:c>
      <x:c r="I15" s="46" t="n">
        <x:v>0</x:v>
      </x:c>
      <x:c r="J15"/>
      <x:c r="K15" t="str">
        <x:v>On Time</x:v>
      </x:c>
      <x:c r="L15" s="16"/>
    </x:row>
    <x:row r="16">
      <x:c r="A16" s="22" t="n">
        <x:v>46267</x:v>
      </x:c>
      <x:c r="B16" t="str">
        <x:v>Wednesday</x:v>
      </x:c>
      <x:c r="C16" t="str">
        <x:v>08:00-17:00</x:v>
      </x:c>
      <x:c r="D16" t="str">
        <x:v>07:58</x:v>
      </x:c>
      <x:c r="E16" t="str">
        <x:v>17:05</x:v>
      </x:c>
      <x:c r="F16" s="46" t="n">
        <x:v>1</x:v>
      </x:c>
      <x:c r="G16" s="46" t="n">
        <x:v>8.12</x:v>
      </x:c>
      <x:c r="H16" s="46" t="n">
        <x:v>8.12</x:v>
      </x:c>
      <x:c r="I16" s="46" t="n">
        <x:v>0</x:v>
      </x:c>
      <x:c r="J16"/>
      <x:c r="K16" t="str">
        <x:v>On Time</x:v>
      </x:c>
      <x:c r="L16" s="16"/>
    </x:row>
    <x:row r="17">
      <x:c r="A17" s="22" t="n">
        <x:v>46268</x:v>
      </x:c>
      <x:c r="B17" t="str">
        <x:v>Thursday</x:v>
      </x:c>
      <x:c r="C17" t="str">
        <x:v>08:00-17:00</x:v>
      </x:c>
      <x:c r="D17" t="str">
        <x:v>08:04</x:v>
      </x:c>
      <x:c r="E17" t="str">
        <x:v>17:00</x:v>
      </x:c>
      <x:c r="F17" s="46" t="n">
        <x:v>1</x:v>
      </x:c>
      <x:c r="G17" s="46" t="n">
        <x:v>7.93</x:v>
      </x:c>
      <x:c r="H17" s="46" t="n">
        <x:v>7.93</x:v>
      </x:c>
      <x:c r="I17" s="46" t="n">
        <x:v>0</x:v>
      </x:c>
      <x:c r="J17"/>
      <x:c r="K17" t="str">
        <x:v>Late</x:v>
      </x:c>
      <x:c r="L17" s="16" t="str">
        <x:v>Arrived 4 minutes late.</x:v>
      </x:c>
    </x:row>
    <x:row r="18">
      <x:c r="A18" s="22" t="n">
        <x:v>46269</x:v>
      </x:c>
      <x:c r="B18" t="str">
        <x:v>Friday</x:v>
      </x:c>
      <x:c r="C18" t="str">
        <x:v>08:00-17:00</x:v>
      </x:c>
      <x:c r="D18" t="str">
        <x:v>08:00</x:v>
      </x:c>
      <x:c r="E18" t="str">
        <x:v>17:02</x:v>
      </x:c>
      <x:c r="F18" s="46" t="n">
        <x:v>1</x:v>
      </x:c>
      <x:c r="G18" s="46" t="n">
        <x:v>8.03</x:v>
      </x:c>
      <x:c r="H18" s="46" t="n">
        <x:v>8.03</x:v>
      </x:c>
      <x:c r="I18" s="46" t="n">
        <x:v>0</x:v>
      </x:c>
      <x:c r="J18"/>
      <x:c r="K18" t="str">
        <x:v>On Time</x:v>
      </x:c>
      <x:c r="L18" s="16"/>
    </x:row>
    <x:row r="19">
      <x:c r="A19" s="22" t="n">
        <x:v>46270</x:v>
      </x:c>
      <x:c r="B19" t="str">
        <x:v>Saturday</x:v>
      </x:c>
      <x:c r="C19" t="str">
        <x:v>08:00-14:00</x:v>
      </x:c>
      <x:c r="D19" t="str">
        <x:v>07:57</x:v>
      </x:c>
      <x:c r="E19" t="str">
        <x:v>13:59</x:v>
      </x:c>
      <x:c r="F19" s="46" t="n">
        <x:v>1</x:v>
      </x:c>
      <x:c r="G19" s="46" t="n">
        <x:v>5.03</x:v>
      </x:c>
      <x:c r="H19" s="46" t="n">
        <x:v>3.92</x:v>
      </x:c>
      <x:c r="I19" s="46" t="n">
        <x:v>1.11</x:v>
      </x:c>
      <x:c r="J19"/>
      <x:c r="K19" t="str">
        <x:v>Overtime</x:v>
      </x:c>
      <x:c r="L19" s="16"/>
    </x:row>
    <x:row r="20">
      <x:c r="A20" s="22" t="n">
        <x:v>46272</x:v>
      </x:c>
      <x:c r="B20" t="str">
        <x:v>Monday</x:v>
      </x:c>
      <x:c r="C20" t="str">
        <x:v>08:00-17:00</x:v>
      </x:c>
      <x:c r="D20"/>
      <x:c r="E20"/>
      <x:c r="F20" s="46" t="n">
        <x:v>0</x:v>
      </x:c>
      <x:c r="G20" s="46" t="n">
        <x:v>0</x:v>
      </x:c>
      <x:c r="H20" s="46" t="n">
        <x:v>0</x:v>
      </x:c>
      <x:c r="I20" s="46" t="n">
        <x:v>0</x:v>
      </x:c>
      <x:c r="J20" t="str">
        <x:v>Public Holiday</x:v>
      </x:c>
      <x:c r="K20" t="str">
        <x:v>Public Holiday</x:v>
      </x:c>
      <x:c r="L20" s="16" t="str">
        <x:v>Labour Day</x:v>
      </x:c>
    </x:row>
    <x:row r="21">
      <x:c r="A21" s="22" t="n">
        <x:v>46273</x:v>
      </x:c>
      <x:c r="B21" t="str">
        <x:v>Tuesday</x:v>
      </x:c>
      <x:c r="C21" t="str">
        <x:v>08:00-17:00</x:v>
      </x:c>
      <x:c r="D21" t="str">
        <x:v>07:59</x:v>
      </x:c>
      <x:c r="E21" t="str">
        <x:v>17:00</x:v>
      </x:c>
      <x:c r="F21" s="46" t="n">
        <x:v>1</x:v>
      </x:c>
      <x:c r="G21" s="46" t="n">
        <x:v>8.02</x:v>
      </x:c>
      <x:c r="H21" s="46" t="n">
        <x:v>8.02</x:v>
      </x:c>
      <x:c r="I21" s="46" t="n">
        <x:v>0</x:v>
      </x:c>
      <x:c r="J21"/>
      <x:c r="K21" t="str">
        <x:v>On Time</x:v>
      </x:c>
      <x:c r="L21" s="16"/>
    </x:row>
    <x:row r="22">
      <x:c r="A22" s="22" t="n">
        <x:v>46274</x:v>
      </x:c>
      <x:c r="B22" t="str">
        <x:v>Wednesday</x:v>
      </x:c>
      <x:c r="C22" t="str">
        <x:v>08:00-17:00</x:v>
      </x:c>
      <x:c r="D22" t="str">
        <x:v>08:00</x:v>
      </x:c>
      <x:c r="E22" t="str">
        <x:v>17:00</x:v>
      </x:c>
      <x:c r="F22" s="46" t="n">
        <x:v>1</x:v>
      </x:c>
      <x:c r="G22" s="46" t="n">
        <x:v>8</x:v>
      </x:c>
      <x:c r="H22" s="46" t="n">
        <x:v>8</x:v>
      </x:c>
      <x:c r="I22" s="46" t="n">
        <x:v>0</x:v>
      </x:c>
      <x:c r="J22"/>
      <x:c r="K22" t="str">
        <x:v>On Time</x:v>
      </x:c>
      <x:c r="L22" s="16"/>
    </x:row>
    <x:row r="23">
      <x:c r="A23" s="22" t="n">
        <x:v>46275</x:v>
      </x:c>
      <x:c r="B23" t="str">
        <x:v>Thursday</x:v>
      </x:c>
      <x:c r="C23" t="str">
        <x:v>08:00-17:00</x:v>
      </x:c>
      <x:c r="D23" t="str">
        <x:v>07:57</x:v>
      </x:c>
      <x:c r="E23" t="str">
        <x:v>17:45</x:v>
      </x:c>
      <x:c r="F23" s="46" t="n">
        <x:v>1</x:v>
      </x:c>
      <x:c r="G23" s="46" t="n">
        <x:v>8.8</x:v>
      </x:c>
      <x:c r="H23" s="46" t="n">
        <x:v>8.8</x:v>
      </x:c>
      <x:c r="I23" s="46" t="n">
        <x:v>0</x:v>
      </x:c>
      <x:c r="J23"/>
      <x:c r="K23" t="str">
        <x:v>On Time</x:v>
      </x:c>
      <x:c r="L23" s="16" t="str">
        <x:v>Inventory receiving required additional time.</x:v>
      </x:c>
    </x:row>
    <x:row r="24">
      <x:c r="A24" s="22" t="n">
        <x:v>46276</x:v>
      </x:c>
      <x:c r="B24" t="str">
        <x:v>Friday</x:v>
      </x:c>
      <x:c r="C24" t="str">
        <x:v>08:00-17:00</x:v>
      </x:c>
      <x:c r="D24" t="str">
        <x:v>08:00</x:v>
      </x:c>
      <x:c r="E24" t="str">
        <x:v>17:04</x:v>
      </x:c>
      <x:c r="F24" s="46" t="n">
        <x:v>1</x:v>
      </x:c>
      <x:c r="G24" s="46" t="n">
        <x:v>8.07</x:v>
      </x:c>
      <x:c r="H24" s="46" t="n">
        <x:v>8.07</x:v>
      </x:c>
      <x:c r="I24" s="46" t="n">
        <x:v>0</x:v>
      </x:c>
      <x:c r="J24"/>
      <x:c r="K24" t="str">
        <x:v>On Time</x:v>
      </x:c>
      <x:c r="L24" s="16"/>
    </x:row>
    <x:row r="25">
      <x:c r="A25" s="22" t="n">
        <x:v>46277</x:v>
      </x:c>
      <x:c r="B25" t="str">
        <x:v>Saturday</x:v>
      </x:c>
      <x:c r="C25" t="str">
        <x:v>08:00-14:00</x:v>
      </x:c>
      <x:c r="D25" t="str">
        <x:v>07:56</x:v>
      </x:c>
      <x:c r="E25" t="str">
        <x:v>13:59</x:v>
      </x:c>
      <x:c r="F25" s="46" t="n">
        <x:v>1</x:v>
      </x:c>
      <x:c r="G25" s="46" t="n">
        <x:v>5.05</x:v>
      </x:c>
      <x:c r="H25" s="46" t="n">
        <x:v>5.05</x:v>
      </x:c>
      <x:c r="I25" s="46" t="n">
        <x:v>0</x:v>
      </x:c>
      <x:c r="J25"/>
      <x:c r="K25" t="str">
        <x:v>Left Early</x:v>
      </x:c>
      <x:c r="L25" s="16"/>
    </x:row>
    <x:row r="26">
      <x:c r="A26" s="22" t="n">
        <x:v>46279</x:v>
      </x:c>
      <x:c r="B26" t="str">
        <x:v>Monday</x:v>
      </x:c>
      <x:c r="C26" t="str">
        <x:v>08:00-17:00</x:v>
      </x:c>
      <x:c r="D26" t="str">
        <x:v>08:02</x:v>
      </x:c>
      <x:c r="E26" t="str">
        <x:v>17:05</x:v>
      </x:c>
      <x:c r="F26" s="46" t="n">
        <x:v>1</x:v>
      </x:c>
      <x:c r="G26" s="46" t="n">
        <x:v>8.05</x:v>
      </x:c>
      <x:c r="H26" s="46" t="n">
        <x:v>8.05</x:v>
      </x:c>
      <x:c r="I26" s="46" t="n">
        <x:v>0</x:v>
      </x:c>
      <x:c r="J26"/>
      <x:c r="K26" t="str">
        <x:v>Late</x:v>
      </x:c>
      <x:c r="L26" s="16"/>
    </x:row>
    <x:row r="27">
      <x:c r="A27" s="22" t="n">
        <x:v>46280</x:v>
      </x:c>
      <x:c r="B27" t="str">
        <x:v>Tuesday</x:v>
      </x:c>
      <x:c r="C27" t="str">
        <x:v>08:00-17:00</x:v>
      </x:c>
      <x:c r="D27" t="str">
        <x:v>08:02</x:v>
      </x:c>
      <x:c r="E27" t="str">
        <x:v>17:00</x:v>
      </x:c>
      <x:c r="F27" s="46" t="n">
        <x:v>1</x:v>
      </x:c>
      <x:c r="G27" s="46" t="n">
        <x:v>7.97</x:v>
      </x:c>
      <x:c r="H27" s="46" t="n">
        <x:v>7.97</x:v>
      </x:c>
      <x:c r="I27" s="46" t="n">
        <x:v>0</x:v>
      </x:c>
      <x:c r="J27"/>
      <x:c r="K27" t="str">
        <x:v>Late</x:v>
      </x:c>
      <x:c r="L27" s="16"/>
    </x:row>
    <x:row r="28">
      <x:c r="A28" s="22" t="n">
        <x:v>46281</x:v>
      </x:c>
      <x:c r="B28" t="str">
        <x:v>Wednesday</x:v>
      </x:c>
      <x:c r="C28" t="str">
        <x:v>08:00-17:00</x:v>
      </x:c>
      <x:c r="D28" t="str">
        <x:v>08:02</x:v>
      </x:c>
      <x:c r="E28" t="str">
        <x:v>17:04</x:v>
      </x:c>
      <x:c r="F28" s="46" t="n">
        <x:v>1</x:v>
      </x:c>
      <x:c r="G28" s="46" t="n">
        <x:v>8.03</x:v>
      </x:c>
      <x:c r="H28" s="46" t="n">
        <x:v>8.03</x:v>
      </x:c>
      <x:c r="I28" s="46" t="n">
        <x:v>0</x:v>
      </x:c>
      <x:c r="J28"/>
      <x:c r="K28" t="str">
        <x:v>Late</x:v>
      </x:c>
      <x:c r="L28" s="16"/>
    </x:row>
    <x:row r="29">
      <x:c r="A29" s="22" t="n">
        <x:v>46282</x:v>
      </x:c>
      <x:c r="B29" t="str">
        <x:v>Thursday</x:v>
      </x:c>
      <x:c r="C29" t="str">
        <x:v>08:00-17:00</x:v>
      </x:c>
      <x:c r="D29" t="str">
        <x:v>08:00</x:v>
      </x:c>
      <x:c r="E29" t="str">
        <x:v>16:59</x:v>
      </x:c>
      <x:c r="F29" s="46" t="n">
        <x:v>1</x:v>
      </x:c>
      <x:c r="G29" s="46" t="n">
        <x:v>7.98</x:v>
      </x:c>
      <x:c r="H29" s="46" t="n">
        <x:v>7.98</x:v>
      </x:c>
      <x:c r="I29" s="46" t="n">
        <x:v>0</x:v>
      </x:c>
      <x:c r="J29"/>
      <x:c r="K29" t="str">
        <x:v>Left Early</x:v>
      </x:c>
      <x:c r="L29" s="16"/>
    </x:row>
    <x:row r="30">
      <x:c r="A30" s="22" t="n">
        <x:v>46283</x:v>
      </x:c>
      <x:c r="B30" t="str">
        <x:v>Friday</x:v>
      </x:c>
      <x:c r="C30" t="str">
        <x:v>08:00-17:00</x:v>
      </x:c>
      <x:c r="D30"/>
      <x:c r="E30"/>
      <x:c r="F30" s="46" t="n">
        <x:v>0</x:v>
      </x:c>
      <x:c r="G30" s="46" t="n">
        <x:v>0</x:v>
      </x:c>
      <x:c r="H30" s="46" t="n">
        <x:v>0</x:v>
      </x:c>
      <x:c r="I30" s="46" t="n">
        <x:v>0</x:v>
      </x:c>
      <x:c r="J30" t="str">
        <x:v>Unpaid Leave</x:v>
      </x:c>
      <x:c r="K30" t="str">
        <x:v>Unpaid Leave</x:v>
      </x:c>
      <x:c r="L30" s="16" t="str">
        <x:v>Approved full-day unpaid personal leave.</x:v>
      </x:c>
    </x:row>
    <x:row r="31">
      <x:c r="A31" s="22" t="n">
        <x:v>46284</x:v>
      </x:c>
      <x:c r="B31" t="str">
        <x:v>Saturday</x:v>
      </x:c>
      <x:c r="C31" t="str">
        <x:v>08:00-14:00</x:v>
      </x:c>
      <x:c r="D31" t="str">
        <x:v>08:00</x:v>
      </x:c>
      <x:c r="E31" t="str">
        <x:v>14:02</x:v>
      </x:c>
      <x:c r="F31" s="46" t="n">
        <x:v>1</x:v>
      </x:c>
      <x:c r="G31" s="46" t="n">
        <x:v>5.03</x:v>
      </x:c>
      <x:c r="H31" s="46" t="n">
        <x:v>5.03</x:v>
      </x:c>
      <x:c r="I31" s="46" t="n">
        <x:v>0</x:v>
      </x:c>
      <x:c r="J31"/>
      <x:c r="K31" t="str">
        <x:v>On Time</x:v>
      </x:c>
      <x:c r="L31" s="16"/>
    </x:row>
    <x:row r="32">
      <x:c r="A32" s="22" t="n">
        <x:v>46286</x:v>
      </x:c>
      <x:c r="B32" t="str">
        <x:v>Monday</x:v>
      </x:c>
      <x:c r="C32" t="str">
        <x:v>08:00-17:00</x:v>
      </x:c>
      <x:c r="D32" t="str">
        <x:v>07:58</x:v>
      </x:c>
      <x:c r="E32" t="str">
        <x:v>17:06</x:v>
      </x:c>
      <x:c r="F32" s="46" t="n">
        <x:v>1</x:v>
      </x:c>
      <x:c r="G32" s="46" t="n">
        <x:v>8.13</x:v>
      </x:c>
      <x:c r="H32" s="46" t="n">
        <x:v>8.13</x:v>
      </x:c>
      <x:c r="I32" s="46" t="n">
        <x:v>0</x:v>
      </x:c>
      <x:c r="J32"/>
      <x:c r="K32" t="str">
        <x:v>On Time</x:v>
      </x:c>
      <x:c r="L32" s="16"/>
    </x:row>
    <x:row r="33">
      <x:c r="A33" s="22" t="n">
        <x:v>46287</x:v>
      </x:c>
      <x:c r="B33" t="str">
        <x:v>Tuesday</x:v>
      </x:c>
      <x:c r="C33" t="str">
        <x:v>08:00-17:00</x:v>
      </x:c>
      <x:c r="D33" t="str">
        <x:v>08:01</x:v>
      </x:c>
      <x:c r="E33" t="str">
        <x:v>17:04</x:v>
      </x:c>
      <x:c r="F33" s="46" t="n">
        <x:v>1</x:v>
      </x:c>
      <x:c r="G33" s="46" t="n">
        <x:v>8.05</x:v>
      </x:c>
      <x:c r="H33" s="46" t="n">
        <x:v>8.05</x:v>
      </x:c>
      <x:c r="I33" s="46" t="n">
        <x:v>0</x:v>
      </x:c>
      <x:c r="J33"/>
      <x:c r="K33" t="str">
        <x:v>Late</x:v>
      </x:c>
      <x:c r="L33" s="16"/>
    </x:row>
    <x:row r="34">
      <x:c r="A34" s="22" t="n">
        <x:v>46288</x:v>
      </x:c>
      <x:c r="B34" t="str">
        <x:v>Wednesday</x:v>
      </x:c>
      <x:c r="C34" t="str">
        <x:v>08:00-17:00</x:v>
      </x:c>
      <x:c r="D34" t="str">
        <x:v>07:59</x:v>
      </x:c>
      <x:c r="E34" t="str">
        <x:v>17:01</x:v>
      </x:c>
      <x:c r="F34" s="46" t="n">
        <x:v>1</x:v>
      </x:c>
      <x:c r="G34" s="46" t="n">
        <x:v>8.03</x:v>
      </x:c>
      <x:c r="H34" s="46" t="n">
        <x:v>8.03</x:v>
      </x:c>
      <x:c r="I34" s="46" t="n">
        <x:v>0</x:v>
      </x:c>
      <x:c r="J34"/>
      <x:c r="K34" t="str">
        <x:v>On Time</x:v>
      </x:c>
      <x:c r="L34" s="16"/>
    </x:row>
    <x:row r="35">
      <x:c r="A35" s="22" t="n">
        <x:v>46289</x:v>
      </x:c>
      <x:c r="B35" t="str">
        <x:v>Thursday</x:v>
      </x:c>
      <x:c r="C35" t="str">
        <x:v>08:00-17:00</x:v>
      </x:c>
      <x:c r="D35" t="str">
        <x:v>08:02</x:v>
      </x:c>
      <x:c r="E35" t="str">
        <x:v>17:06</x:v>
      </x:c>
      <x:c r="F35" s="46" t="n">
        <x:v>1</x:v>
      </x:c>
      <x:c r="G35" s="46" t="n">
        <x:v>8.07</x:v>
      </x:c>
      <x:c r="H35" s="46" t="n">
        <x:v>8.07</x:v>
      </x:c>
      <x:c r="I35" s="46" t="n">
        <x:v>0</x:v>
      </x:c>
      <x:c r="J35"/>
      <x:c r="K35" t="str">
        <x:v>Late</x:v>
      </x:c>
      <x:c r="L35" s="16" t="str">
        <x:v>Arrived 2 minutes late.</x:v>
      </x:c>
    </x:row>
    <x:row r="36">
      <x:c r="A36" s="22" t="n">
        <x:v>46290</x:v>
      </x:c>
      <x:c r="B36" t="str">
        <x:v>Friday</x:v>
      </x:c>
      <x:c r="C36" t="str">
        <x:v>08:00-17:00</x:v>
      </x:c>
      <x:c r="D36" t="str">
        <x:v>08:01</x:v>
      </x:c>
      <x:c r="E36" t="str">
        <x:v>16:58</x:v>
      </x:c>
      <x:c r="F36" s="46" t="n">
        <x:v>1</x:v>
      </x:c>
      <x:c r="G36" s="46" t="n">
        <x:v>7.95</x:v>
      </x:c>
      <x:c r="H36" s="46" t="n">
        <x:v>7.95</x:v>
      </x:c>
      <x:c r="I36" s="46" t="n">
        <x:v>0</x:v>
      </x:c>
      <x:c r="J36"/>
      <x:c r="K36" t="str">
        <x:v>Late</x:v>
      </x:c>
      <x:c r="L36" s="16"/>
    </x:row>
    <x:row r="37">
      <x:c r="A37" s="22" t="n">
        <x:v>46291</x:v>
      </x:c>
      <x:c r="B37" t="str">
        <x:v>Saturday</x:v>
      </x:c>
      <x:c r="C37" t="str">
        <x:v>08:00-14:00</x:v>
      </x:c>
      <x:c r="D37" t="str">
        <x:v>08:00</x:v>
      </x:c>
      <x:c r="E37" t="str">
        <x:v>14:04</x:v>
      </x:c>
      <x:c r="F37" s="46" t="n">
        <x:v>1</x:v>
      </x:c>
      <x:c r="G37" s="46" t="n">
        <x:v>5.07</x:v>
      </x:c>
      <x:c r="H37" s="46" t="n">
        <x:v>3.77</x:v>
      </x:c>
      <x:c r="I37" s="46" t="n">
        <x:v>1.3</x:v>
      </x:c>
      <x:c r="J37"/>
      <x:c r="K37" t="str">
        <x:v>Overtime</x:v>
      </x:c>
      <x:c r="L37" s="16"/>
    </x:row>
    <x:row r="38">
      <x:c r="A38" s="22" t="n">
        <x:v>46293</x:v>
      </x:c>
      <x:c r="B38" t="str">
        <x:v>Monday</x:v>
      </x:c>
      <x:c r="C38" t="str">
        <x:v>08:00-17:00</x:v>
      </x:c>
      <x:c r="D38" t="str">
        <x:v>08:02</x:v>
      </x:c>
      <x:c r="E38" t="str">
        <x:v>17:02</x:v>
      </x:c>
      <x:c r="F38" s="46" t="n">
        <x:v>1</x:v>
      </x:c>
      <x:c r="G38" s="46" t="n">
        <x:v>8</x:v>
      </x:c>
      <x:c r="H38" s="46" t="n">
        <x:v>8</x:v>
      </x:c>
      <x:c r="I38" s="46" t="n">
        <x:v>0</x:v>
      </x:c>
      <x:c r="J38"/>
      <x:c r="K38" t="str">
        <x:v>Late</x:v>
      </x:c>
      <x:c r="L38" s="16"/>
    </x:row>
    <x:row r="39">
      <x:c r="A39" s="22" t="n">
        <x:v>46294</x:v>
      </x:c>
      <x:c r="B39" t="str">
        <x:v>Tuesday</x:v>
      </x:c>
      <x:c r="C39" t="str">
        <x:v>08:00-17:00</x:v>
      </x:c>
      <x:c r="D39" t="str">
        <x:v>07:58</x:v>
      </x:c>
      <x:c r="E39" t="str">
        <x:v>17:01</x:v>
      </x:c>
      <x:c r="F39" s="46" t="n">
        <x:v>1</x:v>
      </x:c>
      <x:c r="G39" s="46" t="n">
        <x:v>8.05</x:v>
      </x:c>
      <x:c r="H39" s="46" t="n">
        <x:v>8.05</x:v>
      </x:c>
      <x:c r="I39" s="46" t="n">
        <x:v>0</x:v>
      </x:c>
      <x:c r="J39"/>
      <x:c r="K39" t="str">
        <x:v>On Time</x:v>
      </x:c>
      <x:c r="L39" s="16"/>
    </x:row>
    <x:row r="40">
      <x:c r="A40" s="22" t="n">
        <x:v>46295</x:v>
      </x:c>
      <x:c r="B40" t="str">
        <x:v>Wednesday</x:v>
      </x:c>
      <x:c r="C40" t="str">
        <x:v>08:00-17:00</x:v>
      </x:c>
      <x:c r="D40" t="str">
        <x:v>07:57</x:v>
      </x:c>
      <x:c r="E40" t="str">
        <x:v>17:02</x:v>
      </x:c>
      <x:c r="F40" s="46" t="n">
        <x:v>1</x:v>
      </x:c>
      <x:c r="G40" s="46" t="n">
        <x:v>8.08</x:v>
      </x:c>
      <x:c r="H40" s="46" t="n">
        <x:v>8.08</x:v>
      </x:c>
      <x:c r="I40" s="46" t="n">
        <x:v>0</x:v>
      </x:c>
      <x:c r="J40"/>
      <x:c r="K40" t="str">
        <x:v>On Time</x:v>
      </x:c>
      <x:c r="L40" s="16"/>
    </x:row>
    <x:row r="42" ht="34" customHeight="1">
      <x:c r="A42" s="77" t="str">
        <x:v>Certification: This statement summarizes recorded work time and payroll calculation for the reporting period. Employer identifiers and estimated payroll deductions must be verified before official submission.</x:v>
      </x:c>
    </x:row>
    <x:row r="44">
      <x:c r="A44" t="str">
        <x:v>Authorized Employer Representative</x:v>
      </x:c>
      <x:c r="B44" t="str"/>
      <x:c r="C44" t="str"/>
      <x:c r="D44" t="str"/>
      <x:c r="E44" t="str"/>
      <x:c r="F44" t="str">
        <x:v>Employee Acknowledgement</x:v>
      </x:c>
      <x:c r="G44" t="str"/>
      <x:c r="H44" t="str"/>
      <x:c r="I44" t="str"/>
      <x:c r="J44" t="str"/>
      <x:c r="K44" t="str">
        <x:v>Date</x:v>
      </x:c>
      <x:c r="L44" t="str"/>
    </x:row>
    <x:row r="45">
      <x:c r="A45" t="str">
        <x:v>Signature: __________________________</x:v>
      </x:c>
      <x:c r="B45" t="str"/>
      <x:c r="C45" t="str"/>
      <x:c r="D45" t="str"/>
      <x:c r="E45" t="str"/>
      <x:c r="F45" t="str">
        <x:v>Signature: __________________________</x:v>
      </x:c>
      <x:c r="G45" t="str"/>
      <x:c r="H45" t="str"/>
      <x:c r="I45" t="str"/>
      <x:c r="J45" t="str"/>
      <x:c r="K45" t="str">
        <x:v>________________</x:v>
      </x:c>
      <x:c r="L45" t="str"/>
    </x:row>
  </x:sheetData>
  <x:mergeCells>
    <x:mergeCell ref="A1:L1"/>
    <x:mergeCell ref="B3:F3"/>
    <x:mergeCell ref="B4:F4"/>
    <x:mergeCell ref="B5:F5"/>
    <x:mergeCell ref="H3:L3"/>
    <x:mergeCell ref="H4:L4"/>
    <x:mergeCell ref="H5:L5"/>
    <x:mergeCell ref="A9:L9"/>
    <x:mergeCell ref="A13:L13"/>
    <x:mergeCell ref="A42:L4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4" hidden="0" customWidth="1"/>
    <x:col min="4" max="4" width="11" hidden="0" customWidth="1"/>
    <x:col min="5" max="5" width="11" hidden="0" customWidth="1"/>
    <x:col min="6" max="6" width="9" hidden="0" customWidth="1"/>
    <x:col min="7" max="7" width="16" hidden="0" customWidth="1"/>
    <x:col min="8" max="8" width="11" hidden="0" customWidth="1"/>
    <x:col min="9" max="9" width="16" hidden="0" customWidth="1"/>
    <x:col min="10" max="10" width="16" hidden="0" customWidth="1"/>
    <x:col min="11" max="11" width="15" hidden="0" customWidth="1"/>
    <x:col min="12" max="12" width="42" hidden="0" customWidth="1"/>
  </x:cols>
  <x:sheetData>
    <x:row r="1" ht="28" customHeight="1">
      <x:c r="A1" s="3" t="str">
        <x:v>Employee Work &amp; Payroll Statement</x:v>
      </x:c>
    </x:row>
    <x:row r="3">
      <x:c r="A3" s="71" t="str">
        <x:v>Employer Legal Name</x:v>
      </x:c>
      <x:c r="B3" t="str">
        <x:f>Settings!$B$8</x:f>
        <x:v>REPLACE BEFORE OFFICIAL USE</x:v>
      </x:c>
      <x:c r="G3" s="71" t="str">
        <x:v>Reporting Period</x:v>
      </x:c>
      <x:c r="H3" t="str">
        <x:v>2026-09-01 to 2026-09-30</x:v>
      </x:c>
    </x:row>
    <x:row r="4">
      <x:c r="A4" s="71" t="str">
        <x:v>CRA Business Number</x:v>
      </x:c>
      <x:c r="B4" t="str">
        <x:f>Settings!$B$9</x:f>
        <x:v>REPLACE BEFORE OFFICIAL USE</x:v>
      </x:c>
      <x:c r="G4" s="71" t="str">
        <x:v>Pay Date</x:v>
      </x:c>
      <x:c r="H4" t="str">
        <x:v>2026-10-05</x:v>
      </x:c>
    </x:row>
    <x:row r="5">
      <x:c r="A5" s="71" t="str">
        <x:v>Employer Address</x:v>
      </x:c>
      <x:c r="B5" t="str">
        <x:f>Settings!$B$10&amp;", "&amp;Settings!$B$11</x:f>
        <x:v>REPLACE BEFORE OFFICIAL USE, REPLACE BEFORE OFFICIAL USE</x:v>
      </x:c>
      <x:c r="G5" s="71" t="str">
        <x:v>Province</x:v>
      </x:c>
      <x:c r="H5" t="str">
        <x:v>Ontario</x:v>
      </x:c>
    </x:row>
    <x:row r="7">
      <x:c r="A7" s="71" t="str">
        <x:v>Employee ID</x:v>
      </x:c>
      <x:c r="B7" t="str">
        <x:v>EMP-003</x:v>
      </x:c>
      <x:c r="C7" s="71" t="str">
        <x:v>Full Name</x:v>
      </x:c>
      <x:c r="D7" t="str">
        <x:v>Ava Patel</x:v>
      </x:c>
      <x:c r="E7" s="71" t="str">
        <x:v>Department</x:v>
      </x:c>
      <x:c r="F7" t="str">
        <x:v>Finance</x:v>
      </x:c>
      <x:c r="G7" s="71" t="str">
        <x:v>Job Code</x:v>
      </x:c>
      <x:c r="H7" t="str">
        <x:v>FIN-02</x:v>
      </x:c>
      <x:c r="I7" s="71" t="str">
        <x:v>Hourly Rate (CAD)</x:v>
      </x:c>
      <x:c r="J7" s="34" t="n">
        <x:v>34.5</x:v>
      </x:c>
      <x:c r="K7" s="71" t="str">
        <x:v>Status</x:v>
      </x:c>
      <x:c r="L7" t="str">
        <x:v>Active</x:v>
      </x:c>
    </x:row>
    <x:row r="9" ht="22" customHeight="1">
      <x:c r="A9" s="19" t="str">
        <x:v>Payroll Summary</x:v>
      </x:c>
    </x:row>
    <x:row r="10" ht="30" customHeight="1">
      <x:c r="A10" s="10" t="str">
        <x:v>Regular Hours</x:v>
      </x:c>
      <x:c r="B10" s="10" t="str">
        <x:v>Overtime Hours</x:v>
      </x:c>
      <x:c r="C10" s="10" t="str">
        <x:v>Paid Leave Hours</x:v>
      </x:c>
      <x:c r="D10" s="10" t="str">
        <x:v>Public Holiday Hours</x:v>
      </x:c>
      <x:c r="E10" s="10" t="str">
        <x:v>Unpaid Leave Hours</x:v>
      </x:c>
      <x:c r="F10" s="10" t="str">
        <x:v>Gross Pay (CAD)</x:v>
      </x:c>
      <x:c r="G10" s="10" t="str">
        <x:v>CPP (Est.)</x:v>
      </x:c>
      <x:c r="H10" s="10" t="str">
        <x:v>CPP2 (Est.)</x:v>
      </x:c>
      <x:c r="I10" s="10" t="str">
        <x:v>EI (Est.)</x:v>
      </x:c>
      <x:c r="J10" s="10" t="str">
        <x:v>Tax (Est.)</x:v>
      </x:c>
      <x:c r="K10" s="10" t="str">
        <x:v>Total Deductions (Est.)</x:v>
      </x:c>
      <x:c r="L10" s="10" t="str">
        <x:v>Net Pay (Est.)</x:v>
      </x:c>
    </x:row>
    <x:row r="11">
      <x:c r="A11" s="46" t="n">
        <x:v>176.71</x:v>
      </x:c>
      <x:c r="B11" s="46" t="n">
        <x:v>3.42</x:v>
      </x:c>
      <x:c r="C11" s="46" t="n">
        <x:v>8.5</x:v>
      </x:c>
      <x:c r="D11" s="46" t="n">
        <x:v>8</x:v>
      </x:c>
      <x:c r="E11" s="46" t="n">
        <x:v>0</x:v>
      </x:c>
      <x:c r="F11" s="34" t="n">
        <x:v>7116.45</x:v>
      </x:c>
      <x:c r="G11" s="34" t="n">
        <x:v>352.54</x:v>
      </x:c>
      <x:c r="H11" s="34" t="n">
        <x:v>34.67</x:v>
      </x:c>
      <x:c r="I11" s="34" t="n">
        <x:v>93.59</x:v>
      </x:c>
      <x:c r="J11" s="34" t="n">
        <x:v>1671.4</x:v>
      </x:c>
      <x:c r="K11" s="34" t="n">
        <x:v>2152.2</x:v>
      </x:c>
      <x:c r="L11" s="34" t="n">
        <x:v>4964.25</x:v>
      </x:c>
    </x:row>
    <x:row r="13" ht="22" customHeight="1">
      <x:c r="A13" s="19" t="str">
        <x:v>Daily Work Record</x:v>
      </x:c>
    </x:row>
    <x:row r="14" ht="30" customHeight="1">
      <x:c r="A14" s="10" t="str">
        <x:v>Date</x:v>
      </x:c>
      <x:c r="B14" s="10" t="str">
        <x:v>Day</x:v>
      </x:c>
      <x:c r="C14" s="10" t="str">
        <x:v>Scheduled</x:v>
      </x:c>
      <x:c r="D14" s="10" t="str">
        <x:v>Clock In</x:v>
      </x:c>
      <x:c r="E14" s="10" t="str">
        <x:v>Clock Out</x:v>
      </x:c>
      <x:c r="F14" s="10" t="str">
        <x:v>Break</x:v>
      </x:c>
      <x:c r="G14" s="10" t="str">
        <x:v>Worked</x:v>
      </x:c>
      <x:c r="H14" s="10" t="str">
        <x:v>Regular</x:v>
      </x:c>
      <x:c r="I14" s="10" t="str">
        <x:v>Overtime</x:v>
      </x:c>
      <x:c r="J14" s="10" t="str">
        <x:v>Leave</x:v>
      </x:c>
      <x:c r="K14" s="10" t="str">
        <x:v>Status</x:v>
      </x:c>
      <x:c r="L14" s="10" t="str">
        <x:v>Notes</x:v>
      </x:c>
    </x:row>
    <x:row r="15">
      <x:c r="A15" s="22" t="n">
        <x:v>46266</x:v>
      </x:c>
      <x:c r="B15" t="str">
        <x:v>Tuesday</x:v>
      </x:c>
      <x:c r="C15" t="str">
        <x:v>08:00-17:00</x:v>
      </x:c>
      <x:c r="D15" t="str">
        <x:v>08:01</x:v>
      </x:c>
      <x:c r="E15" t="str">
        <x:v>17:05</x:v>
      </x:c>
      <x:c r="F15" s="46" t="n">
        <x:v>1</x:v>
      </x:c>
      <x:c r="G15" s="46" t="n">
        <x:v>8.07</x:v>
      </x:c>
      <x:c r="H15" s="46" t="n">
        <x:v>8.07</x:v>
      </x:c>
      <x:c r="I15" s="46" t="n">
        <x:v>0</x:v>
      </x:c>
      <x:c r="J15"/>
      <x:c r="K15" t="str">
        <x:v>Late</x:v>
      </x:c>
      <x:c r="L15" s="16"/>
    </x:row>
    <x:row r="16">
      <x:c r="A16" s="22" t="n">
        <x:v>46267</x:v>
      </x:c>
      <x:c r="B16" t="str">
        <x:v>Wednesday</x:v>
      </x:c>
      <x:c r="C16" t="str">
        <x:v>08:00-17:00</x:v>
      </x:c>
      <x:c r="D16" t="str">
        <x:v>08:01</x:v>
      </x:c>
      <x:c r="E16" t="str">
        <x:v>16:59</x:v>
      </x:c>
      <x:c r="F16" s="46" t="n">
        <x:v>1</x:v>
      </x:c>
      <x:c r="G16" s="46" t="n">
        <x:v>7.97</x:v>
      </x:c>
      <x:c r="H16" s="46" t="n">
        <x:v>7.97</x:v>
      </x:c>
      <x:c r="I16" s="46" t="n">
        <x:v>0</x:v>
      </x:c>
      <x:c r="J16"/>
      <x:c r="K16" t="str">
        <x:v>Late</x:v>
      </x:c>
      <x:c r="L16" s="16"/>
    </x:row>
    <x:row r="17">
      <x:c r="A17" s="22" t="n">
        <x:v>46268</x:v>
      </x:c>
      <x:c r="B17" t="str">
        <x:v>Thursday</x:v>
      </x:c>
      <x:c r="C17" t="str">
        <x:v>08:00-17:00</x:v>
      </x:c>
      <x:c r="D17" t="str">
        <x:v>08:02</x:v>
      </x:c>
      <x:c r="E17" t="str">
        <x:v>17:02</x:v>
      </x:c>
      <x:c r="F17" s="46" t="n">
        <x:v>1</x:v>
      </x:c>
      <x:c r="G17" s="46" t="n">
        <x:v>8</x:v>
      </x:c>
      <x:c r="H17" s="46" t="n">
        <x:v>8</x:v>
      </x:c>
      <x:c r="I17" s="46" t="n">
        <x:v>0</x:v>
      </x:c>
      <x:c r="J17"/>
      <x:c r="K17" t="str">
        <x:v>Late</x:v>
      </x:c>
      <x:c r="L17" s="16"/>
    </x:row>
    <x:row r="18">
      <x:c r="A18" s="22" t="n">
        <x:v>46269</x:v>
      </x:c>
      <x:c r="B18" t="str">
        <x:v>Friday</x:v>
      </x:c>
      <x:c r="C18" t="str">
        <x:v>08:00-17:00</x:v>
      </x:c>
      <x:c r="D18" t="str">
        <x:v>08:00</x:v>
      </x:c>
      <x:c r="E18" t="str">
        <x:v>17:06</x:v>
      </x:c>
      <x:c r="F18" s="46" t="n">
        <x:v>1</x:v>
      </x:c>
      <x:c r="G18" s="46" t="n">
        <x:v>8.1</x:v>
      </x:c>
      <x:c r="H18" s="46" t="n">
        <x:v>8.1</x:v>
      </x:c>
      <x:c r="I18" s="46" t="n">
        <x:v>0</x:v>
      </x:c>
      <x:c r="J18"/>
      <x:c r="K18" t="str">
        <x:v>On Time</x:v>
      </x:c>
      <x:c r="L18" s="16"/>
    </x:row>
    <x:row r="19">
      <x:c r="A19" s="22" t="n">
        <x:v>46270</x:v>
      </x:c>
      <x:c r="B19" t="str">
        <x:v>Saturday</x:v>
      </x:c>
      <x:c r="C19" t="str">
        <x:v>08:00-14:00</x:v>
      </x:c>
      <x:c r="D19" t="str">
        <x:v>07:58</x:v>
      </x:c>
      <x:c r="E19" t="str">
        <x:v>14:02</x:v>
      </x:c>
      <x:c r="F19" s="46" t="n">
        <x:v>1</x:v>
      </x:c>
      <x:c r="G19" s="46" t="n">
        <x:v>5.07</x:v>
      </x:c>
      <x:c r="H19" s="46" t="n">
        <x:v>3.88</x:v>
      </x:c>
      <x:c r="I19" s="46" t="n">
        <x:v>1.19</x:v>
      </x:c>
      <x:c r="J19"/>
      <x:c r="K19" t="str">
        <x:v>Overtime</x:v>
      </x:c>
      <x:c r="L19" s="16"/>
    </x:row>
    <x:row r="20">
      <x:c r="A20" s="22" t="n">
        <x:v>46272</x:v>
      </x:c>
      <x:c r="B20" t="str">
        <x:v>Monday</x:v>
      </x:c>
      <x:c r="C20" t="str">
        <x:v>08:00-17:00</x:v>
      </x:c>
      <x:c r="D20"/>
      <x:c r="E20"/>
      <x:c r="F20" s="46" t="n">
        <x:v>0</x:v>
      </x:c>
      <x:c r="G20" s="46" t="n">
        <x:v>0</x:v>
      </x:c>
      <x:c r="H20" s="46" t="n">
        <x:v>0</x:v>
      </x:c>
      <x:c r="I20" s="46" t="n">
        <x:v>0</x:v>
      </x:c>
      <x:c r="J20" t="str">
        <x:v>Public Holiday</x:v>
      </x:c>
      <x:c r="K20" t="str">
        <x:v>Public Holiday</x:v>
      </x:c>
      <x:c r="L20" s="16" t="str">
        <x:v>Labour Day</x:v>
      </x:c>
    </x:row>
    <x:row r="21">
      <x:c r="A21" s="22" t="n">
        <x:v>46273</x:v>
      </x:c>
      <x:c r="B21" t="str">
        <x:v>Tuesday</x:v>
      </x:c>
      <x:c r="C21" t="str">
        <x:v>08:00-17:00</x:v>
      </x:c>
      <x:c r="D21" t="str">
        <x:v>08:00</x:v>
      </x:c>
      <x:c r="E21" t="str">
        <x:v>17:03</x:v>
      </x:c>
      <x:c r="F21" s="46" t="n">
        <x:v>1</x:v>
      </x:c>
      <x:c r="G21" s="46" t="n">
        <x:v>8.05</x:v>
      </x:c>
      <x:c r="H21" s="46" t="n">
        <x:v>8.05</x:v>
      </x:c>
      <x:c r="I21" s="46" t="n">
        <x:v>0</x:v>
      </x:c>
      <x:c r="J21"/>
      <x:c r="K21" t="str">
        <x:v>On Time</x:v>
      </x:c>
      <x:c r="L21" s="16"/>
    </x:row>
    <x:row r="22">
      <x:c r="A22" s="22" t="n">
        <x:v>46274</x:v>
      </x:c>
      <x:c r="B22" t="str">
        <x:v>Wednesday</x:v>
      </x:c>
      <x:c r="C22" t="str">
        <x:v>08:00-17:00</x:v>
      </x:c>
      <x:c r="D22" t="str">
        <x:v>08:00</x:v>
      </x:c>
      <x:c r="E22" t="str">
        <x:v>16:59</x:v>
      </x:c>
      <x:c r="F22" s="46" t="n">
        <x:v>1</x:v>
      </x:c>
      <x:c r="G22" s="46" t="n">
        <x:v>7.98</x:v>
      </x:c>
      <x:c r="H22" s="46" t="n">
        <x:v>7.98</x:v>
      </x:c>
      <x:c r="I22" s="46" t="n">
        <x:v>0</x:v>
      </x:c>
      <x:c r="J22"/>
      <x:c r="K22" t="str">
        <x:v>Left Early</x:v>
      </x:c>
      <x:c r="L22" s="16"/>
    </x:row>
    <x:row r="23">
      <x:c r="A23" s="22" t="n">
        <x:v>46275</x:v>
      </x:c>
      <x:c r="B23" t="str">
        <x:v>Thursday</x:v>
      </x:c>
      <x:c r="C23" t="str">
        <x:v>08:00-17:00</x:v>
      </x:c>
      <x:c r="D23" t="str">
        <x:v>07:58</x:v>
      </x:c>
      <x:c r="E23" t="str">
        <x:v>17:00</x:v>
      </x:c>
      <x:c r="F23" s="46" t="n">
        <x:v>1</x:v>
      </x:c>
      <x:c r="G23" s="46" t="n">
        <x:v>8.03</x:v>
      </x:c>
      <x:c r="H23" s="46" t="n">
        <x:v>8.03</x:v>
      </x:c>
      <x:c r="I23" s="46" t="n">
        <x:v>0</x:v>
      </x:c>
      <x:c r="J23"/>
      <x:c r="K23" t="str">
        <x:v>On Time</x:v>
      </x:c>
      <x:c r="L23" s="16"/>
    </x:row>
    <x:row r="24">
      <x:c r="A24" s="22" t="n">
        <x:v>46276</x:v>
      </x:c>
      <x:c r="B24" t="str">
        <x:v>Friday</x:v>
      </x:c>
      <x:c r="C24" t="str">
        <x:v>08:00-17:00</x:v>
      </x:c>
      <x:c r="D24"/>
      <x:c r="E24"/>
      <x:c r="F24" s="46" t="n">
        <x:v>0</x:v>
      </x:c>
      <x:c r="G24" s="46" t="n">
        <x:v>0</x:v>
      </x:c>
      <x:c r="H24" s="46" t="n">
        <x:v>0</x:v>
      </x:c>
      <x:c r="I24" s="46" t="n">
        <x:v>0</x:v>
      </x:c>
      <x:c r="J24" t="str">
        <x:v>Paid Leave</x:v>
      </x:c>
      <x:c r="K24" t="str">
        <x:v>Paid Leave</x:v>
      </x:c>
      <x:c r="L24" s="16" t="str">
        <x:v>Approved vacation day.</x:v>
      </x:c>
    </x:row>
    <x:row r="25">
      <x:c r="A25" s="22" t="n">
        <x:v>46277</x:v>
      </x:c>
      <x:c r="B25" t="str">
        <x:v>Saturday</x:v>
      </x:c>
      <x:c r="C25" t="str">
        <x:v>08:00-14:00</x:v>
      </x:c>
      <x:c r="D25" t="str">
        <x:v>07:56</x:v>
      </x:c>
      <x:c r="E25" t="str">
        <x:v>14:04</x:v>
      </x:c>
      <x:c r="F25" s="46" t="n">
        <x:v>1</x:v>
      </x:c>
      <x:c r="G25" s="46" t="n">
        <x:v>5.13</x:v>
      </x:c>
      <x:c r="H25" s="46" t="n">
        <x:v>5.13</x:v>
      </x:c>
      <x:c r="I25" s="46" t="n">
        <x:v>0</x:v>
      </x:c>
      <x:c r="J25"/>
      <x:c r="K25" t="str">
        <x:v>On Time</x:v>
      </x:c>
      <x:c r="L25" s="16"/>
    </x:row>
    <x:row r="26">
      <x:c r="A26" s="22" t="n">
        <x:v>46279</x:v>
      </x:c>
      <x:c r="B26" t="str">
        <x:v>Monday</x:v>
      </x:c>
      <x:c r="C26" t="str">
        <x:v>08:00-17:00</x:v>
      </x:c>
      <x:c r="D26" t="str">
        <x:v>07:57</x:v>
      </x:c>
      <x:c r="E26" t="str">
        <x:v>17:00</x:v>
      </x:c>
      <x:c r="F26" s="46" t="n">
        <x:v>1</x:v>
      </x:c>
      <x:c r="G26" s="46" t="n">
        <x:v>8.05</x:v>
      </x:c>
      <x:c r="H26" s="46" t="n">
        <x:v>8.05</x:v>
      </x:c>
      <x:c r="I26" s="46" t="n">
        <x:v>0</x:v>
      </x:c>
      <x:c r="J26"/>
      <x:c r="K26" t="str">
        <x:v>On Time</x:v>
      </x:c>
      <x:c r="L26" s="16"/>
    </x:row>
    <x:row r="27">
      <x:c r="A27" s="22" t="n">
        <x:v>46280</x:v>
      </x:c>
      <x:c r="B27" t="str">
        <x:v>Tuesday</x:v>
      </x:c>
      <x:c r="C27" t="str">
        <x:v>08:00-17:00</x:v>
      </x:c>
      <x:c r="D27" t="str">
        <x:v>08:02</x:v>
      </x:c>
      <x:c r="E27" t="str">
        <x:v>17:00</x:v>
      </x:c>
      <x:c r="F27" s="46" t="n">
        <x:v>1</x:v>
      </x:c>
      <x:c r="G27" s="46" t="n">
        <x:v>7.97</x:v>
      </x:c>
      <x:c r="H27" s="46" t="n">
        <x:v>7.97</x:v>
      </x:c>
      <x:c r="I27" s="46" t="n">
        <x:v>0</x:v>
      </x:c>
      <x:c r="J27"/>
      <x:c r="K27" t="str">
        <x:v>Late</x:v>
      </x:c>
      <x:c r="L27" s="16"/>
    </x:row>
    <x:row r="28">
      <x:c r="A28" s="22" t="n">
        <x:v>46281</x:v>
      </x:c>
      <x:c r="B28" t="str">
        <x:v>Wednesday</x:v>
      </x:c>
      <x:c r="C28" t="str">
        <x:v>08:00-17:00</x:v>
      </x:c>
      <x:c r="D28" t="str">
        <x:v>07:56</x:v>
      </x:c>
      <x:c r="E28" t="str">
        <x:v>16:59</x:v>
      </x:c>
      <x:c r="F28" s="46" t="n">
        <x:v>1</x:v>
      </x:c>
      <x:c r="G28" s="46" t="n">
        <x:v>8.05</x:v>
      </x:c>
      <x:c r="H28" s="46" t="n">
        <x:v>8.05</x:v>
      </x:c>
      <x:c r="I28" s="46" t="n">
        <x:v>0</x:v>
      </x:c>
      <x:c r="J28"/>
      <x:c r="K28" t="str">
        <x:v>Left Early</x:v>
      </x:c>
      <x:c r="L28" s="16"/>
    </x:row>
    <x:row r="29">
      <x:c r="A29" s="22" t="n">
        <x:v>46282</x:v>
      </x:c>
      <x:c r="B29" t="str">
        <x:v>Thursday</x:v>
      </x:c>
      <x:c r="C29" t="str">
        <x:v>08:00-17:00</x:v>
      </x:c>
      <x:c r="D29" t="str">
        <x:v>08:02</x:v>
      </x:c>
      <x:c r="E29" t="str">
        <x:v>16:58</x:v>
      </x:c>
      <x:c r="F29" s="46" t="n">
        <x:v>1</x:v>
      </x:c>
      <x:c r="G29" s="46" t="n">
        <x:v>7.93</x:v>
      </x:c>
      <x:c r="H29" s="46" t="n">
        <x:v>7.93</x:v>
      </x:c>
      <x:c r="I29" s="46" t="n">
        <x:v>0</x:v>
      </x:c>
      <x:c r="J29"/>
      <x:c r="K29" t="str">
        <x:v>Late</x:v>
      </x:c>
      <x:c r="L29" s="16"/>
    </x:row>
    <x:row r="30">
      <x:c r="A30" s="22" t="n">
        <x:v>46283</x:v>
      </x:c>
      <x:c r="B30" t="str">
        <x:v>Friday</x:v>
      </x:c>
      <x:c r="C30" t="str">
        <x:v>08:00-17:00</x:v>
      </x:c>
      <x:c r="D30" t="str">
        <x:v>08:01</x:v>
      </x:c>
      <x:c r="E30" t="str">
        <x:v>17:00</x:v>
      </x:c>
      <x:c r="F30" s="46" t="n">
        <x:v>1</x:v>
      </x:c>
      <x:c r="G30" s="46" t="n">
        <x:v>7.98</x:v>
      </x:c>
      <x:c r="H30" s="46" t="n">
        <x:v>7.98</x:v>
      </x:c>
      <x:c r="I30" s="46" t="n">
        <x:v>0</x:v>
      </x:c>
      <x:c r="J30"/>
      <x:c r="K30" t="str">
        <x:v>Late</x:v>
      </x:c>
      <x:c r="L30" s="16"/>
    </x:row>
    <x:row r="31">
      <x:c r="A31" s="22" t="n">
        <x:v>46284</x:v>
      </x:c>
      <x:c r="B31" t="str">
        <x:v>Saturday</x:v>
      </x:c>
      <x:c r="C31" t="str">
        <x:v>08:00-14:00</x:v>
      </x:c>
      <x:c r="D31" t="str">
        <x:v>08:00</x:v>
      </x:c>
      <x:c r="E31" t="str">
        <x:v>14:01</x:v>
      </x:c>
      <x:c r="F31" s="46" t="n">
        <x:v>1</x:v>
      </x:c>
      <x:c r="G31" s="46" t="n">
        <x:v>5.02</x:v>
      </x:c>
      <x:c r="H31" s="46" t="n">
        <x:v>4.02</x:v>
      </x:c>
      <x:c r="I31" s="46" t="n">
        <x:v>1</x:v>
      </x:c>
      <x:c r="J31"/>
      <x:c r="K31" t="str">
        <x:v>Overtime</x:v>
      </x:c>
      <x:c r="L31" s="16"/>
    </x:row>
    <x:row r="32">
      <x:c r="A32" s="22" t="n">
        <x:v>46286</x:v>
      </x:c>
      <x:c r="B32" t="str">
        <x:v>Monday</x:v>
      </x:c>
      <x:c r="C32" t="str">
        <x:v>08:00-17:00</x:v>
      </x:c>
      <x:c r="D32" t="str">
        <x:v>07:57</x:v>
      </x:c>
      <x:c r="E32" t="str">
        <x:v>17:00</x:v>
      </x:c>
      <x:c r="F32" s="46" t="n">
        <x:v>1</x:v>
      </x:c>
      <x:c r="G32" s="46" t="n">
        <x:v>8.05</x:v>
      </x:c>
      <x:c r="H32" s="46" t="n">
        <x:v>8.05</x:v>
      </x:c>
      <x:c r="I32" s="46" t="n">
        <x:v>0</x:v>
      </x:c>
      <x:c r="J32"/>
      <x:c r="K32" t="str">
        <x:v>On Time</x:v>
      </x:c>
      <x:c r="L32" s="16"/>
    </x:row>
    <x:row r="33">
      <x:c r="A33" s="22" t="n">
        <x:v>46287</x:v>
      </x:c>
      <x:c r="B33" t="str">
        <x:v>Tuesday</x:v>
      </x:c>
      <x:c r="C33" t="str">
        <x:v>08:00-17:00</x:v>
      </x:c>
      <x:c r="D33" t="str">
        <x:v>08:01</x:v>
      </x:c>
      <x:c r="E33" t="str">
        <x:v>17:01</x:v>
      </x:c>
      <x:c r="F33" s="46" t="n">
        <x:v>1</x:v>
      </x:c>
      <x:c r="G33" s="46" t="n">
        <x:v>8</x:v>
      </x:c>
      <x:c r="H33" s="46" t="n">
        <x:v>8</x:v>
      </x:c>
      <x:c r="I33" s="46" t="n">
        <x:v>0</x:v>
      </x:c>
      <x:c r="J33"/>
      <x:c r="K33" t="str">
        <x:v>Late</x:v>
      </x:c>
      <x:c r="L33" s="16"/>
    </x:row>
    <x:row r="34">
      <x:c r="A34" s="22" t="n">
        <x:v>46288</x:v>
      </x:c>
      <x:c r="B34" t="str">
        <x:v>Wednesday</x:v>
      </x:c>
      <x:c r="C34" t="str">
        <x:v>08:00-17:00</x:v>
      </x:c>
      <x:c r="D34" t="str">
        <x:v>07:57</x:v>
      </x:c>
      <x:c r="E34" t="str">
        <x:v>17:03</x:v>
      </x:c>
      <x:c r="F34" s="46" t="n">
        <x:v>1</x:v>
      </x:c>
      <x:c r="G34" s="46" t="n">
        <x:v>8.1</x:v>
      </x:c>
      <x:c r="H34" s="46" t="n">
        <x:v>8.1</x:v>
      </x:c>
      <x:c r="I34" s="46" t="n">
        <x:v>0</x:v>
      </x:c>
      <x:c r="J34"/>
      <x:c r="K34" t="str">
        <x:v>On Time</x:v>
      </x:c>
      <x:c r="L34" s="16"/>
    </x:row>
    <x:row r="35">
      <x:c r="A35" s="22" t="n">
        <x:v>46289</x:v>
      </x:c>
      <x:c r="B35" t="str">
        <x:v>Thursday</x:v>
      </x:c>
      <x:c r="C35" t="str">
        <x:v>08:00-17:00</x:v>
      </x:c>
      <x:c r="D35" t="str">
        <x:v>08:07</x:v>
      </x:c>
      <x:c r="E35" t="str">
        <x:v>17:06</x:v>
      </x:c>
      <x:c r="F35" s="46" t="n">
        <x:v>1</x:v>
      </x:c>
      <x:c r="G35" s="46" t="n">
        <x:v>7.98</x:v>
      </x:c>
      <x:c r="H35" s="46" t="n">
        <x:v>7.98</x:v>
      </x:c>
      <x:c r="I35" s="46" t="n">
        <x:v>0</x:v>
      </x:c>
      <x:c r="J35"/>
      <x:c r="K35" t="str">
        <x:v>Late</x:v>
      </x:c>
      <x:c r="L35" s="16" t="str">
        <x:v>Arrived 7 minutes late due to transit delay.</x:v>
      </x:c>
    </x:row>
    <x:row r="36">
      <x:c r="A36" s="22" t="n">
        <x:v>46290</x:v>
      </x:c>
      <x:c r="B36" t="str">
        <x:v>Friday</x:v>
      </x:c>
      <x:c r="C36" t="str">
        <x:v>08:00-17:00</x:v>
      </x:c>
      <x:c r="D36" t="str">
        <x:v>08:01</x:v>
      </x:c>
      <x:c r="E36" t="str">
        <x:v>17:06</x:v>
      </x:c>
      <x:c r="F36" s="46" t="n">
        <x:v>1</x:v>
      </x:c>
      <x:c r="G36" s="46" t="n">
        <x:v>8.08</x:v>
      </x:c>
      <x:c r="H36" s="46" t="n">
        <x:v>8.08</x:v>
      </x:c>
      <x:c r="I36" s="46" t="n">
        <x:v>0</x:v>
      </x:c>
      <x:c r="J36"/>
      <x:c r="K36" t="str">
        <x:v>Late</x:v>
      </x:c>
      <x:c r="L36" s="16"/>
    </x:row>
    <x:row r="37">
      <x:c r="A37" s="22" t="n">
        <x:v>46291</x:v>
      </x:c>
      <x:c r="B37" t="str">
        <x:v>Saturday</x:v>
      </x:c>
      <x:c r="C37" t="str">
        <x:v>08:00-14:00</x:v>
      </x:c>
      <x:c r="D37" t="str">
        <x:v>07:59</x:v>
      </x:c>
      <x:c r="E37" t="str">
        <x:v>14:00</x:v>
      </x:c>
      <x:c r="F37" s="46" t="n">
        <x:v>1</x:v>
      </x:c>
      <x:c r="G37" s="46" t="n">
        <x:v>5.02</x:v>
      </x:c>
      <x:c r="H37" s="46" t="n">
        <x:v>3.79</x:v>
      </x:c>
      <x:c r="I37" s="46" t="n">
        <x:v>1.23</x:v>
      </x:c>
      <x:c r="J37"/>
      <x:c r="K37" t="str">
        <x:v>Overtime</x:v>
      </x:c>
      <x:c r="L37" s="16"/>
    </x:row>
    <x:row r="38">
      <x:c r="A38" s="22" t="n">
        <x:v>46293</x:v>
      </x:c>
      <x:c r="B38" t="str">
        <x:v>Monday</x:v>
      </x:c>
      <x:c r="C38" t="str">
        <x:v>08:00-17:00</x:v>
      </x:c>
      <x:c r="D38" t="str">
        <x:v>08:00</x:v>
      </x:c>
      <x:c r="E38" t="str">
        <x:v>17:00</x:v>
      </x:c>
      <x:c r="F38" s="46" t="n">
        <x:v>1</x:v>
      </x:c>
      <x:c r="G38" s="46" t="n">
        <x:v>8</x:v>
      </x:c>
      <x:c r="H38" s="46" t="n">
        <x:v>8</x:v>
      </x:c>
      <x:c r="I38" s="46" t="n">
        <x:v>0</x:v>
      </x:c>
      <x:c r="J38"/>
      <x:c r="K38" t="str">
        <x:v>On Time</x:v>
      </x:c>
      <x:c r="L38" s="16"/>
    </x:row>
    <x:row r="39">
      <x:c r="A39" s="22" t="n">
        <x:v>46294</x:v>
      </x:c>
      <x:c r="B39" t="str">
        <x:v>Tuesday</x:v>
      </x:c>
      <x:c r="C39" t="str">
        <x:v>08:00-17:00</x:v>
      </x:c>
      <x:c r="D39" t="str">
        <x:v>08:00</x:v>
      </x:c>
      <x:c r="E39" t="str">
        <x:v>16:30</x:v>
      </x:c>
      <x:c r="F39" s="46" t="n">
        <x:v>1</x:v>
      </x:c>
      <x:c r="G39" s="46" t="n">
        <x:v>7.5</x:v>
      </x:c>
      <x:c r="H39" s="46" t="n">
        <x:v>7.5</x:v>
      </x:c>
      <x:c r="I39" s="46" t="n">
        <x:v>0</x:v>
      </x:c>
      <x:c r="J39" t="str">
        <x:v>Paid Leave</x:v>
      </x:c>
      <x:c r="K39" t="str">
        <x:v>Paid Leave</x:v>
      </x:c>
      <x:c r="L39" s="16" t="str">
        <x:v>Approved 30-minute paid leave at end of day.</x:v>
      </x:c>
    </x:row>
    <x:row r="40">
      <x:c r="A40" s="22" t="n">
        <x:v>46295</x:v>
      </x:c>
      <x:c r="B40" t="str">
        <x:v>Wednesday</x:v>
      </x:c>
      <x:c r="C40" t="str">
        <x:v>08:00-17:00</x:v>
      </x:c>
      <x:c r="D40" t="str">
        <x:v>08:00</x:v>
      </x:c>
      <x:c r="E40" t="str">
        <x:v>17:00</x:v>
      </x:c>
      <x:c r="F40" s="46" t="n">
        <x:v>1</x:v>
      </x:c>
      <x:c r="G40" s="46" t="n">
        <x:v>8</x:v>
      </x:c>
      <x:c r="H40" s="46" t="n">
        <x:v>8</x:v>
      </x:c>
      <x:c r="I40" s="46" t="n">
        <x:v>0</x:v>
      </x:c>
      <x:c r="J40"/>
      <x:c r="K40" t="str">
        <x:v>On Time</x:v>
      </x:c>
      <x:c r="L40" s="16"/>
    </x:row>
    <x:row r="42" ht="34" customHeight="1">
      <x:c r="A42" s="77" t="str">
        <x:v>Certification: This statement summarizes recorded work time and payroll calculation for the reporting period. Employer identifiers and estimated payroll deductions must be verified before official submission.</x:v>
      </x:c>
    </x:row>
    <x:row r="44">
      <x:c r="A44" t="str">
        <x:v>Authorized Employer Representative</x:v>
      </x:c>
      <x:c r="B44" t="str"/>
      <x:c r="C44" t="str"/>
      <x:c r="D44" t="str"/>
      <x:c r="E44" t="str"/>
      <x:c r="F44" t="str">
        <x:v>Employee Acknowledgement</x:v>
      </x:c>
      <x:c r="G44" t="str"/>
      <x:c r="H44" t="str"/>
      <x:c r="I44" t="str"/>
      <x:c r="J44" t="str"/>
      <x:c r="K44" t="str">
        <x:v>Date</x:v>
      </x:c>
      <x:c r="L44" t="str"/>
    </x:row>
    <x:row r="45">
      <x:c r="A45" t="str">
        <x:v>Signature: __________________________</x:v>
      </x:c>
      <x:c r="B45" t="str"/>
      <x:c r="C45" t="str"/>
      <x:c r="D45" t="str"/>
      <x:c r="E45" t="str"/>
      <x:c r="F45" t="str">
        <x:v>Signature: __________________________</x:v>
      </x:c>
      <x:c r="G45" t="str"/>
      <x:c r="H45" t="str"/>
      <x:c r="I45" t="str"/>
      <x:c r="J45" t="str"/>
      <x:c r="K45" t="str">
        <x:v>________________</x:v>
      </x:c>
      <x:c r="L45" t="str"/>
    </x:row>
  </x:sheetData>
  <x:mergeCells>
    <x:mergeCell ref="A1:L1"/>
    <x:mergeCell ref="B3:F3"/>
    <x:mergeCell ref="B4:F4"/>
    <x:mergeCell ref="B5:F5"/>
    <x:mergeCell ref="H3:L3"/>
    <x:mergeCell ref="H4:L4"/>
    <x:mergeCell ref="H5:L5"/>
    <x:mergeCell ref="A9:L9"/>
    <x:mergeCell ref="A13:L13"/>
    <x:mergeCell ref="A42:L4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4" hidden="0" customWidth="1"/>
    <x:col min="4" max="4" width="11" hidden="0" customWidth="1"/>
    <x:col min="5" max="5" width="11" hidden="0" customWidth="1"/>
    <x:col min="6" max="6" width="9" hidden="0" customWidth="1"/>
    <x:col min="7" max="7" width="16" hidden="0" customWidth="1"/>
    <x:col min="8" max="8" width="11" hidden="0" customWidth="1"/>
    <x:col min="9" max="9" width="16" hidden="0" customWidth="1"/>
    <x:col min="10" max="10" width="16" hidden="0" customWidth="1"/>
    <x:col min="11" max="11" width="15" hidden="0" customWidth="1"/>
    <x:col min="12" max="12" width="42" hidden="0" customWidth="1"/>
  </x:cols>
  <x:sheetData>
    <x:row r="1" ht="28" customHeight="1">
      <x:c r="A1" s="3" t="str">
        <x:v>Employee Work &amp; Payroll Statement</x:v>
      </x:c>
    </x:row>
    <x:row r="3">
      <x:c r="A3" s="71" t="str">
        <x:v>Employer Legal Name</x:v>
      </x:c>
      <x:c r="B3" t="str">
        <x:f>Settings!$B$8</x:f>
        <x:v>REPLACE BEFORE OFFICIAL USE</x:v>
      </x:c>
      <x:c r="G3" s="71" t="str">
        <x:v>Reporting Period</x:v>
      </x:c>
      <x:c r="H3" t="str">
        <x:v>2026-09-01 to 2026-09-30</x:v>
      </x:c>
    </x:row>
    <x:row r="4">
      <x:c r="A4" s="71" t="str">
        <x:v>CRA Business Number</x:v>
      </x:c>
      <x:c r="B4" t="str">
        <x:f>Settings!$B$9</x:f>
        <x:v>REPLACE BEFORE OFFICIAL USE</x:v>
      </x:c>
      <x:c r="G4" s="71" t="str">
        <x:v>Pay Date</x:v>
      </x:c>
      <x:c r="H4" t="str">
        <x:v>2026-10-05</x:v>
      </x:c>
    </x:row>
    <x:row r="5">
      <x:c r="A5" s="71" t="str">
        <x:v>Employer Address</x:v>
      </x:c>
      <x:c r="B5" t="str">
        <x:f>Settings!$B$10&amp;", "&amp;Settings!$B$11</x:f>
        <x:v>REPLACE BEFORE OFFICIAL USE, REPLACE BEFORE OFFICIAL USE</x:v>
      </x:c>
      <x:c r="G5" s="71" t="str">
        <x:v>Province</x:v>
      </x:c>
      <x:c r="H5" t="str">
        <x:v>Ontario</x:v>
      </x:c>
    </x:row>
    <x:row r="7">
      <x:c r="A7" s="71" t="str">
        <x:v>Employee ID</x:v>
      </x:c>
      <x:c r="B7" t="str">
        <x:v>EMP-004</x:v>
      </x:c>
      <x:c r="C7" s="71" t="str">
        <x:v>Full Name</x:v>
      </x:c>
      <x:c r="D7" t="str">
        <x:v>Noah Williams</x:v>
      </x:c>
      <x:c r="E7" s="71" t="str">
        <x:v>Department</x:v>
      </x:c>
      <x:c r="F7" t="str">
        <x:v>Customer Support</x:v>
      </x:c>
      <x:c r="G7" s="71" t="str">
        <x:v>Job Code</x:v>
      </x:c>
      <x:c r="H7" t="str">
        <x:v>CS-01</x:v>
      </x:c>
      <x:c r="I7" s="71" t="str">
        <x:v>Hourly Rate (CAD)</x:v>
      </x:c>
      <x:c r="J7" s="34" t="n">
        <x:v>24.25</x:v>
      </x:c>
      <x:c r="K7" s="71" t="str">
        <x:v>Status</x:v>
      </x:c>
      <x:c r="L7" t="str">
        <x:v>Active</x:v>
      </x:c>
    </x:row>
    <x:row r="9" ht="22" customHeight="1">
      <x:c r="A9" s="19" t="str">
        <x:v>Payroll Summary</x:v>
      </x:c>
    </x:row>
    <x:row r="10" ht="30" customHeight="1">
      <x:c r="A10" s="10" t="str">
        <x:v>Regular Hours</x:v>
      </x:c>
      <x:c r="B10" s="10" t="str">
        <x:v>Overtime Hours</x:v>
      </x:c>
      <x:c r="C10" s="10" t="str">
        <x:v>Paid Leave Hours</x:v>
      </x:c>
      <x:c r="D10" s="10" t="str">
        <x:v>Public Holiday Hours</x:v>
      </x:c>
      <x:c r="E10" s="10" t="str">
        <x:v>Unpaid Leave Hours</x:v>
      </x:c>
      <x:c r="F10" s="10" t="str">
        <x:v>Gross Pay (CAD)</x:v>
      </x:c>
      <x:c r="G10" s="10" t="str">
        <x:v>CPP (Est.)</x:v>
      </x:c>
      <x:c r="H10" s="10" t="str">
        <x:v>CPP2 (Est.)</x:v>
      </x:c>
      <x:c r="I10" s="10" t="str">
        <x:v>EI (Est.)</x:v>
      </x:c>
      <x:c r="J10" s="10" t="str">
        <x:v>Tax (Est.)</x:v>
      </x:c>
      <x:c r="K10" s="10" t="str">
        <x:v>Total Deductions (Est.)</x:v>
      </x:c>
      <x:c r="L10" s="10" t="str">
        <x:v>Net Pay (Est.)</x:v>
      </x:c>
    </x:row>
    <x:row r="11">
      <x:c r="A11" s="46" t="n">
        <x:v>174.30999999999997</x:v>
      </x:c>
      <x:c r="B11" s="46" t="n">
        <x:v>1.9</x:v>
      </x:c>
      <x:c r="C11" s="46" t="n">
        <x:v>8</x:v>
      </x:c>
      <x:c r="D11" s="46" t="n">
        <x:v>8</x:v>
      </x:c>
      <x:c r="E11" s="46" t="n">
        <x:v>5</x:v>
      </x:c>
      <x:c r="F11" s="34" t="n">
        <x:v>4871.5</x:v>
      </x:c>
      <x:c r="G11" s="34" t="n">
        <x:v>272.5</x:v>
      </x:c>
      <x:c r="H11" s="34" t="n">
        <x:v>0</x:v>
      </x:c>
      <x:c r="I11" s="34" t="n">
        <x:v>79.41</x:v>
      </x:c>
      <x:c r="J11" s="34" t="n">
        <x:v>993.62</x:v>
      </x:c>
      <x:c r="K11" s="34" t="n">
        <x:v>1345.5300000000002</x:v>
      </x:c>
      <x:c r="L11" s="34" t="n">
        <x:v>3525.97</x:v>
      </x:c>
    </x:row>
    <x:row r="13" ht="22" customHeight="1">
      <x:c r="A13" s="19" t="str">
        <x:v>Daily Work Record</x:v>
      </x:c>
    </x:row>
    <x:row r="14" ht="30" customHeight="1">
      <x:c r="A14" s="10" t="str">
        <x:v>Date</x:v>
      </x:c>
      <x:c r="B14" s="10" t="str">
        <x:v>Day</x:v>
      </x:c>
      <x:c r="C14" s="10" t="str">
        <x:v>Scheduled</x:v>
      </x:c>
      <x:c r="D14" s="10" t="str">
        <x:v>Clock In</x:v>
      </x:c>
      <x:c r="E14" s="10" t="str">
        <x:v>Clock Out</x:v>
      </x:c>
      <x:c r="F14" s="10" t="str">
        <x:v>Break</x:v>
      </x:c>
      <x:c r="G14" s="10" t="str">
        <x:v>Worked</x:v>
      </x:c>
      <x:c r="H14" s="10" t="str">
        <x:v>Regular</x:v>
      </x:c>
      <x:c r="I14" s="10" t="str">
        <x:v>Overtime</x:v>
      </x:c>
      <x:c r="J14" s="10" t="str">
        <x:v>Leave</x:v>
      </x:c>
      <x:c r="K14" s="10" t="str">
        <x:v>Status</x:v>
      </x:c>
      <x:c r="L14" s="10" t="str">
        <x:v>Notes</x:v>
      </x:c>
    </x:row>
    <x:row r="15">
      <x:c r="A15" s="22" t="n">
        <x:v>46266</x:v>
      </x:c>
      <x:c r="B15" t="str">
        <x:v>Tuesday</x:v>
      </x:c>
      <x:c r="C15" t="str">
        <x:v>08:00-17:00</x:v>
      </x:c>
      <x:c r="D15" t="str">
        <x:v>07:59</x:v>
      </x:c>
      <x:c r="E15" t="str">
        <x:v>17:05</x:v>
      </x:c>
      <x:c r="F15" s="46" t="n">
        <x:v>1</x:v>
      </x:c>
      <x:c r="G15" s="46" t="n">
        <x:v>8.1</x:v>
      </x:c>
      <x:c r="H15" s="46" t="n">
        <x:v>8.1</x:v>
      </x:c>
      <x:c r="I15" s="46" t="n">
        <x:v>0</x:v>
      </x:c>
      <x:c r="J15"/>
      <x:c r="K15" t="str">
        <x:v>On Time</x:v>
      </x:c>
      <x:c r="L15" s="16"/>
    </x:row>
    <x:row r="16">
      <x:c r="A16" s="22" t="n">
        <x:v>46267</x:v>
      </x:c>
      <x:c r="B16" t="str">
        <x:v>Wednesday</x:v>
      </x:c>
      <x:c r="C16" t="str">
        <x:v>08:00-17:00</x:v>
      </x:c>
      <x:c r="D16" t="str">
        <x:v>08:00</x:v>
      </x:c>
      <x:c r="E16" t="str">
        <x:v>17:40</x:v>
      </x:c>
      <x:c r="F16" s="46" t="n">
        <x:v>1</x:v>
      </x:c>
      <x:c r="G16" s="46" t="n">
        <x:v>8.67</x:v>
      </x:c>
      <x:c r="H16" s="46" t="n">
        <x:v>8.67</x:v>
      </x:c>
      <x:c r="I16" s="46" t="n">
        <x:v>0</x:v>
      </x:c>
      <x:c r="J16"/>
      <x:c r="K16" t="str">
        <x:v>On Time</x:v>
      </x:c>
      <x:c r="L16" s="16" t="str">
        <x:v>Customer escalation required extended coverage.</x:v>
      </x:c>
    </x:row>
    <x:row r="17">
      <x:c r="A17" s="22" t="n">
        <x:v>46268</x:v>
      </x:c>
      <x:c r="B17" t="str">
        <x:v>Thursday</x:v>
      </x:c>
      <x:c r="C17" t="str">
        <x:v>08:00-17:00</x:v>
      </x:c>
      <x:c r="D17" t="str">
        <x:v>08:02</x:v>
      </x:c>
      <x:c r="E17" t="str">
        <x:v>17:00</x:v>
      </x:c>
      <x:c r="F17" s="46" t="n">
        <x:v>1</x:v>
      </x:c>
      <x:c r="G17" s="46" t="n">
        <x:v>7.97</x:v>
      </x:c>
      <x:c r="H17" s="46" t="n">
        <x:v>7.97</x:v>
      </x:c>
      <x:c r="I17" s="46" t="n">
        <x:v>0</x:v>
      </x:c>
      <x:c r="J17"/>
      <x:c r="K17" t="str">
        <x:v>Late</x:v>
      </x:c>
      <x:c r="L17" s="16"/>
    </x:row>
    <x:row r="18">
      <x:c r="A18" s="22" t="n">
        <x:v>46269</x:v>
      </x:c>
      <x:c r="B18" t="str">
        <x:v>Friday</x:v>
      </x:c>
      <x:c r="C18" t="str">
        <x:v>08:00-17:00</x:v>
      </x:c>
      <x:c r="D18" t="str">
        <x:v>07:57</x:v>
      </x:c>
      <x:c r="E18" t="str">
        <x:v>17:03</x:v>
      </x:c>
      <x:c r="F18" s="46" t="n">
        <x:v>1</x:v>
      </x:c>
      <x:c r="G18" s="46" t="n">
        <x:v>8.1</x:v>
      </x:c>
      <x:c r="H18" s="46" t="n">
        <x:v>8.1</x:v>
      </x:c>
      <x:c r="I18" s="46" t="n">
        <x:v>0</x:v>
      </x:c>
      <x:c r="J18"/>
      <x:c r="K18" t="str">
        <x:v>On Time</x:v>
      </x:c>
      <x:c r="L18" s="16"/>
    </x:row>
    <x:row r="19">
      <x:c r="A19" s="22" t="n">
        <x:v>46270</x:v>
      </x:c>
      <x:c r="B19" t="str">
        <x:v>Saturday</x:v>
      </x:c>
      <x:c r="C19" t="str">
        <x:v>08:00-14:00</x:v>
      </x:c>
      <x:c r="D19" t="str">
        <x:v>08:00</x:v>
      </x:c>
      <x:c r="E19" t="str">
        <x:v>14:02</x:v>
      </x:c>
      <x:c r="F19" s="46" t="n">
        <x:v>1</x:v>
      </x:c>
      <x:c r="G19" s="46" t="n">
        <x:v>5.03</x:v>
      </x:c>
      <x:c r="H19" s="46" t="n">
        <x:v>3.13</x:v>
      </x:c>
      <x:c r="I19" s="46" t="n">
        <x:v>1.9</x:v>
      </x:c>
      <x:c r="J19"/>
      <x:c r="K19" t="str">
        <x:v>Overtime</x:v>
      </x:c>
      <x:c r="L19" s="16"/>
    </x:row>
    <x:row r="20">
      <x:c r="A20" s="22" t="n">
        <x:v>46272</x:v>
      </x:c>
      <x:c r="B20" t="str">
        <x:v>Monday</x:v>
      </x:c>
      <x:c r="C20" t="str">
        <x:v>08:00-17:00</x:v>
      </x:c>
      <x:c r="D20"/>
      <x:c r="E20"/>
      <x:c r="F20" s="46" t="n">
        <x:v>0</x:v>
      </x:c>
      <x:c r="G20" s="46" t="n">
        <x:v>0</x:v>
      </x:c>
      <x:c r="H20" s="46" t="n">
        <x:v>0</x:v>
      </x:c>
      <x:c r="I20" s="46" t="n">
        <x:v>0</x:v>
      </x:c>
      <x:c r="J20" t="str">
        <x:v>Public Holiday</x:v>
      </x:c>
      <x:c r="K20" t="str">
        <x:v>Public Holiday</x:v>
      </x:c>
      <x:c r="L20" s="16" t="str">
        <x:v>Labour Day</x:v>
      </x:c>
    </x:row>
    <x:row r="21">
      <x:c r="A21" s="22" t="n">
        <x:v>46273</x:v>
      </x:c>
      <x:c r="B21" t="str">
        <x:v>Tuesday</x:v>
      </x:c>
      <x:c r="C21" t="str">
        <x:v>08:00-17:00</x:v>
      </x:c>
      <x:c r="D21" t="str">
        <x:v>08:10</x:v>
      </x:c>
      <x:c r="E21" t="str">
        <x:v>17:00</x:v>
      </x:c>
      <x:c r="F21" s="46" t="n">
        <x:v>1</x:v>
      </x:c>
      <x:c r="G21" s="46" t="n">
        <x:v>7.83</x:v>
      </x:c>
      <x:c r="H21" s="46" t="n">
        <x:v>7.83</x:v>
      </x:c>
      <x:c r="I21" s="46" t="n">
        <x:v>0</x:v>
      </x:c>
      <x:c r="J21"/>
      <x:c r="K21" t="str">
        <x:v>Late</x:v>
      </x:c>
      <x:c r="L21" s="16" t="str">
        <x:v>Arrived 10 minutes late.</x:v>
      </x:c>
    </x:row>
    <x:row r="22">
      <x:c r="A22" s="22" t="n">
        <x:v>46274</x:v>
      </x:c>
      <x:c r="B22" t="str">
        <x:v>Wednesday</x:v>
      </x:c>
      <x:c r="C22" t="str">
        <x:v>08:00-17:00</x:v>
      </x:c>
      <x:c r="D22" t="str">
        <x:v>08:00</x:v>
      </x:c>
      <x:c r="E22" t="str">
        <x:v>16:58</x:v>
      </x:c>
      <x:c r="F22" s="46" t="n">
        <x:v>1</x:v>
      </x:c>
      <x:c r="G22" s="46" t="n">
        <x:v>7.97</x:v>
      </x:c>
      <x:c r="H22" s="46" t="n">
        <x:v>7.97</x:v>
      </x:c>
      <x:c r="I22" s="46" t="n">
        <x:v>0</x:v>
      </x:c>
      <x:c r="J22"/>
      <x:c r="K22" t="str">
        <x:v>Left Early</x:v>
      </x:c>
      <x:c r="L22" s="16"/>
    </x:row>
    <x:row r="23">
      <x:c r="A23" s="22" t="n">
        <x:v>46275</x:v>
      </x:c>
      <x:c r="B23" t="str">
        <x:v>Thursday</x:v>
      </x:c>
      <x:c r="C23" t="str">
        <x:v>08:00-17:00</x:v>
      </x:c>
      <x:c r="D23" t="str">
        <x:v>08:01</x:v>
      </x:c>
      <x:c r="E23" t="str">
        <x:v>17:00</x:v>
      </x:c>
      <x:c r="F23" s="46" t="n">
        <x:v>1</x:v>
      </x:c>
      <x:c r="G23" s="46" t="n">
        <x:v>7.98</x:v>
      </x:c>
      <x:c r="H23" s="46" t="n">
        <x:v>7.98</x:v>
      </x:c>
      <x:c r="I23" s="46" t="n">
        <x:v>0</x:v>
      </x:c>
      <x:c r="J23"/>
      <x:c r="K23" t="str">
        <x:v>Late</x:v>
      </x:c>
      <x:c r="L23" s="16"/>
    </x:row>
    <x:row r="24">
      <x:c r="A24" s="22" t="n">
        <x:v>46276</x:v>
      </x:c>
      <x:c r="B24" t="str">
        <x:v>Friday</x:v>
      </x:c>
      <x:c r="C24" t="str">
        <x:v>08:00-17:00</x:v>
      </x:c>
      <x:c r="D24" t="str">
        <x:v>08:00</x:v>
      </x:c>
      <x:c r="E24" t="str">
        <x:v>17:00</x:v>
      </x:c>
      <x:c r="F24" s="46" t="n">
        <x:v>1</x:v>
      </x:c>
      <x:c r="G24" s="46" t="n">
        <x:v>8</x:v>
      </x:c>
      <x:c r="H24" s="46" t="n">
        <x:v>8</x:v>
      </x:c>
      <x:c r="I24" s="46" t="n">
        <x:v>0</x:v>
      </x:c>
      <x:c r="J24"/>
      <x:c r="K24" t="str">
        <x:v>On Time</x:v>
      </x:c>
      <x:c r="L24" s="16"/>
    </x:row>
    <x:row r="25">
      <x:c r="A25" s="22" t="n">
        <x:v>46277</x:v>
      </x:c>
      <x:c r="B25" t="str">
        <x:v>Saturday</x:v>
      </x:c>
      <x:c r="C25" t="str">
        <x:v>08:00-14:00</x:v>
      </x:c>
      <x:c r="D25" t="str">
        <x:v>08:00</x:v>
      </x:c>
      <x:c r="E25" t="str">
        <x:v>14:01</x:v>
      </x:c>
      <x:c r="F25" s="46" t="n">
        <x:v>1</x:v>
      </x:c>
      <x:c r="G25" s="46" t="n">
        <x:v>5.02</x:v>
      </x:c>
      <x:c r="H25" s="46" t="n">
        <x:v>5.02</x:v>
      </x:c>
      <x:c r="I25" s="46" t="n">
        <x:v>0</x:v>
      </x:c>
      <x:c r="J25"/>
      <x:c r="K25" t="str">
        <x:v>On Time</x:v>
      </x:c>
      <x:c r="L25" s="16"/>
    </x:row>
    <x:row r="26">
      <x:c r="A26" s="22" t="n">
        <x:v>46279</x:v>
      </x:c>
      <x:c r="B26" t="str">
        <x:v>Monday</x:v>
      </x:c>
      <x:c r="C26" t="str">
        <x:v>08:00-17:00</x:v>
      </x:c>
      <x:c r="D26" t="str">
        <x:v>08:02</x:v>
      </x:c>
      <x:c r="E26" t="str">
        <x:v>17:00</x:v>
      </x:c>
      <x:c r="F26" s="46" t="n">
        <x:v>1</x:v>
      </x:c>
      <x:c r="G26" s="46" t="n">
        <x:v>7.97</x:v>
      </x:c>
      <x:c r="H26" s="46" t="n">
        <x:v>7.97</x:v>
      </x:c>
      <x:c r="I26" s="46" t="n">
        <x:v>0</x:v>
      </x:c>
      <x:c r="J26"/>
      <x:c r="K26" t="str">
        <x:v>Late</x:v>
      </x:c>
      <x:c r="L26" s="16"/>
    </x:row>
    <x:row r="27">
      <x:c r="A27" s="22" t="n">
        <x:v>46280</x:v>
      </x:c>
      <x:c r="B27" t="str">
        <x:v>Tuesday</x:v>
      </x:c>
      <x:c r="C27" t="str">
        <x:v>08:00-17:00</x:v>
      </x:c>
      <x:c r="D27"/>
      <x:c r="E27"/>
      <x:c r="F27" s="46" t="n">
        <x:v>0</x:v>
      </x:c>
      <x:c r="G27" s="46" t="n">
        <x:v>0</x:v>
      </x:c>
      <x:c r="H27" s="46" t="n">
        <x:v>0</x:v>
      </x:c>
      <x:c r="I27" s="46" t="n">
        <x:v>0</x:v>
      </x:c>
      <x:c r="J27" t="str">
        <x:v>Paid Leave</x:v>
      </x:c>
      <x:c r="K27" t="str">
        <x:v>Paid Leave</x:v>
      </x:c>
      <x:c r="L27" s="16" t="str">
        <x:v>Approved paid sick day.</x:v>
      </x:c>
    </x:row>
    <x:row r="28">
      <x:c r="A28" s="22" t="n">
        <x:v>46281</x:v>
      </x:c>
      <x:c r="B28" t="str">
        <x:v>Wednesday</x:v>
      </x:c>
      <x:c r="C28" t="str">
        <x:v>08:00-17:00</x:v>
      </x:c>
      <x:c r="D28" t="str">
        <x:v>08:00</x:v>
      </x:c>
      <x:c r="E28" t="str">
        <x:v>17:00</x:v>
      </x:c>
      <x:c r="F28" s="46" t="n">
        <x:v>1</x:v>
      </x:c>
      <x:c r="G28" s="46" t="n">
        <x:v>8</x:v>
      </x:c>
      <x:c r="H28" s="46" t="n">
        <x:v>8</x:v>
      </x:c>
      <x:c r="I28" s="46" t="n">
        <x:v>0</x:v>
      </x:c>
      <x:c r="J28"/>
      <x:c r="K28" t="str">
        <x:v>On Time</x:v>
      </x:c>
      <x:c r="L28" s="16"/>
    </x:row>
    <x:row r="29">
      <x:c r="A29" s="22" t="n">
        <x:v>46282</x:v>
      </x:c>
      <x:c r="B29" t="str">
        <x:v>Thursday</x:v>
      </x:c>
      <x:c r="C29" t="str">
        <x:v>08:00-17:00</x:v>
      </x:c>
      <x:c r="D29" t="str">
        <x:v>07:57</x:v>
      </x:c>
      <x:c r="E29" t="str">
        <x:v>17:03</x:v>
      </x:c>
      <x:c r="F29" s="46" t="n">
        <x:v>1</x:v>
      </x:c>
      <x:c r="G29" s="46" t="n">
        <x:v>8.1</x:v>
      </x:c>
      <x:c r="H29" s="46" t="n">
        <x:v>8.1</x:v>
      </x:c>
      <x:c r="I29" s="46" t="n">
        <x:v>0</x:v>
      </x:c>
      <x:c r="J29"/>
      <x:c r="K29" t="str">
        <x:v>On Time</x:v>
      </x:c>
      <x:c r="L29" s="16"/>
    </x:row>
    <x:row r="30">
      <x:c r="A30" s="22" t="n">
        <x:v>46283</x:v>
      </x:c>
      <x:c r="B30" t="str">
        <x:v>Friday</x:v>
      </x:c>
      <x:c r="C30" t="str">
        <x:v>08:00-17:00</x:v>
      </x:c>
      <x:c r="D30" t="str">
        <x:v>08:00</x:v>
      </x:c>
      <x:c r="E30" t="str">
        <x:v>17:00</x:v>
      </x:c>
      <x:c r="F30" s="46" t="n">
        <x:v>1</x:v>
      </x:c>
      <x:c r="G30" s="46" t="n">
        <x:v>8</x:v>
      </x:c>
      <x:c r="H30" s="46" t="n">
        <x:v>8</x:v>
      </x:c>
      <x:c r="I30" s="46" t="n">
        <x:v>0</x:v>
      </x:c>
      <x:c r="J30"/>
      <x:c r="K30" t="str">
        <x:v>On Time</x:v>
      </x:c>
      <x:c r="L30" s="16"/>
    </x:row>
    <x:row r="31">
      <x:c r="A31" s="22" t="n">
        <x:v>46284</x:v>
      </x:c>
      <x:c r="B31" t="str">
        <x:v>Saturday</x:v>
      </x:c>
      <x:c r="C31" t="str">
        <x:v>08:00-14:00</x:v>
      </x:c>
      <x:c r="D31" t="str">
        <x:v>07:56</x:v>
      </x:c>
      <x:c r="E31" t="str">
        <x:v>14:04</x:v>
      </x:c>
      <x:c r="F31" s="46" t="n">
        <x:v>1</x:v>
      </x:c>
      <x:c r="G31" s="46" t="n">
        <x:v>5.13</x:v>
      </x:c>
      <x:c r="H31" s="46" t="n">
        <x:v>5.13</x:v>
      </x:c>
      <x:c r="I31" s="46" t="n">
        <x:v>0</x:v>
      </x:c>
      <x:c r="J31"/>
      <x:c r="K31" t="str">
        <x:v>On Time</x:v>
      </x:c>
      <x:c r="L31" s="16"/>
    </x:row>
    <x:row r="32">
      <x:c r="A32" s="22" t="n">
        <x:v>46286</x:v>
      </x:c>
      <x:c r="B32" t="str">
        <x:v>Monday</x:v>
      </x:c>
      <x:c r="C32" t="str">
        <x:v>08:00-17:00</x:v>
      </x:c>
      <x:c r="D32" t="str">
        <x:v>08:00</x:v>
      </x:c>
      <x:c r="E32" t="str">
        <x:v>16:58</x:v>
      </x:c>
      <x:c r="F32" s="46" t="n">
        <x:v>1</x:v>
      </x:c>
      <x:c r="G32" s="46" t="n">
        <x:v>7.97</x:v>
      </x:c>
      <x:c r="H32" s="46" t="n">
        <x:v>7.97</x:v>
      </x:c>
      <x:c r="I32" s="46" t="n">
        <x:v>0</x:v>
      </x:c>
      <x:c r="J32"/>
      <x:c r="K32" t="str">
        <x:v>Left Early</x:v>
      </x:c>
      <x:c r="L32" s="16"/>
    </x:row>
    <x:row r="33">
      <x:c r="A33" s="22" t="n">
        <x:v>46287</x:v>
      </x:c>
      <x:c r="B33" t="str">
        <x:v>Tuesday</x:v>
      </x:c>
      <x:c r="C33" t="str">
        <x:v>08:00-17:00</x:v>
      </x:c>
      <x:c r="D33" t="str">
        <x:v>08:00</x:v>
      </x:c>
      <x:c r="E33" t="str">
        <x:v>17:00</x:v>
      </x:c>
      <x:c r="F33" s="46" t="n">
        <x:v>1</x:v>
      </x:c>
      <x:c r="G33" s="46" t="n">
        <x:v>8</x:v>
      </x:c>
      <x:c r="H33" s="46" t="n">
        <x:v>8</x:v>
      </x:c>
      <x:c r="I33" s="46" t="n">
        <x:v>0</x:v>
      </x:c>
      <x:c r="J33"/>
      <x:c r="K33" t="str">
        <x:v>On Time</x:v>
      </x:c>
      <x:c r="L33" s="16"/>
    </x:row>
    <x:row r="34">
      <x:c r="A34" s="22" t="n">
        <x:v>46288</x:v>
      </x:c>
      <x:c r="B34" t="str">
        <x:v>Wednesday</x:v>
      </x:c>
      <x:c r="C34" t="str">
        <x:v>08:00-17:00</x:v>
      </x:c>
      <x:c r="D34" t="str">
        <x:v>08:00</x:v>
      </x:c>
      <x:c r="E34" t="str">
        <x:v>17:04</x:v>
      </x:c>
      <x:c r="F34" s="46" t="n">
        <x:v>1</x:v>
      </x:c>
      <x:c r="G34" s="46" t="n">
        <x:v>8.07</x:v>
      </x:c>
      <x:c r="H34" s="46" t="n">
        <x:v>8.07</x:v>
      </x:c>
      <x:c r="I34" s="46" t="n">
        <x:v>0</x:v>
      </x:c>
      <x:c r="J34"/>
      <x:c r="K34" t="str">
        <x:v>On Time</x:v>
      </x:c>
      <x:c r="L34" s="16"/>
    </x:row>
    <x:row r="35">
      <x:c r="A35" s="22" t="n">
        <x:v>46289</x:v>
      </x:c>
      <x:c r="B35" t="str">
        <x:v>Thursday</x:v>
      </x:c>
      <x:c r="C35" t="str">
        <x:v>08:00-17:00</x:v>
      </x:c>
      <x:c r="D35" t="str">
        <x:v>07:56</x:v>
      </x:c>
      <x:c r="E35" t="str">
        <x:v>17:02</x:v>
      </x:c>
      <x:c r="F35" s="46" t="n">
        <x:v>1</x:v>
      </x:c>
      <x:c r="G35" s="46" t="n">
        <x:v>8.1</x:v>
      </x:c>
      <x:c r="H35" s="46" t="n">
        <x:v>8.1</x:v>
      </x:c>
      <x:c r="I35" s="46" t="n">
        <x:v>0</x:v>
      </x:c>
      <x:c r="J35"/>
      <x:c r="K35" t="str">
        <x:v>On Time</x:v>
      </x:c>
      <x:c r="L35" s="16"/>
    </x:row>
    <x:row r="36">
      <x:c r="A36" s="22" t="n">
        <x:v>46290</x:v>
      </x:c>
      <x:c r="B36" t="str">
        <x:v>Friday</x:v>
      </x:c>
      <x:c r="C36" t="str">
        <x:v>08:00-17:00</x:v>
      </x:c>
      <x:c r="D36" t="str">
        <x:v>07:58</x:v>
      </x:c>
      <x:c r="E36" t="str">
        <x:v>17:02</x:v>
      </x:c>
      <x:c r="F36" s="46" t="n">
        <x:v>1</x:v>
      </x:c>
      <x:c r="G36" s="46" t="n">
        <x:v>8.07</x:v>
      </x:c>
      <x:c r="H36" s="46" t="n">
        <x:v>8.07</x:v>
      </x:c>
      <x:c r="I36" s="46" t="n">
        <x:v>0</x:v>
      </x:c>
      <x:c r="J36"/>
      <x:c r="K36" t="str">
        <x:v>On Time</x:v>
      </x:c>
      <x:c r="L36" s="16"/>
    </x:row>
    <x:row r="37">
      <x:c r="A37" s="22" t="n">
        <x:v>46291</x:v>
      </x:c>
      <x:c r="B37" t="str">
        <x:v>Saturday</x:v>
      </x:c>
      <x:c r="C37" t="str">
        <x:v>08:00-14:00</x:v>
      </x:c>
      <x:c r="D37"/>
      <x:c r="E37"/>
      <x:c r="F37" s="46" t="n">
        <x:v>0</x:v>
      </x:c>
      <x:c r="G37" s="46" t="n">
        <x:v>0</x:v>
      </x:c>
      <x:c r="H37" s="46" t="n">
        <x:v>0</x:v>
      </x:c>
      <x:c r="I37" s="46" t="n">
        <x:v>0</x:v>
      </x:c>
      <x:c r="J37" t="str">
        <x:v>Unpaid Leave</x:v>
      </x:c>
      <x:c r="K37" t="str">
        <x:v>Unpaid Leave</x:v>
      </x:c>
      <x:c r="L37" s="16" t="str">
        <x:v>Approved unpaid Saturday leave.</x:v>
      </x:c>
    </x:row>
    <x:row r="38">
      <x:c r="A38" s="22" t="n">
        <x:v>46293</x:v>
      </x:c>
      <x:c r="B38" t="str">
        <x:v>Monday</x:v>
      </x:c>
      <x:c r="C38" t="str">
        <x:v>08:00-17:00</x:v>
      </x:c>
      <x:c r="D38" t="str">
        <x:v>08:00</x:v>
      </x:c>
      <x:c r="E38" t="str">
        <x:v>17:00</x:v>
      </x:c>
      <x:c r="F38" s="46" t="n">
        <x:v>1</x:v>
      </x:c>
      <x:c r="G38" s="46" t="n">
        <x:v>8</x:v>
      </x:c>
      <x:c r="H38" s="46" t="n">
        <x:v>8</x:v>
      </x:c>
      <x:c r="I38" s="46" t="n">
        <x:v>0</x:v>
      </x:c>
      <x:c r="J38"/>
      <x:c r="K38" t="str">
        <x:v>On Time</x:v>
      </x:c>
      <x:c r="L38" s="16"/>
    </x:row>
    <x:row r="39">
      <x:c r="A39" s="22" t="n">
        <x:v>46294</x:v>
      </x:c>
      <x:c r="B39" t="str">
        <x:v>Tuesday</x:v>
      </x:c>
      <x:c r="C39" t="str">
        <x:v>08:00-17:00</x:v>
      </x:c>
      <x:c r="D39" t="str">
        <x:v>08:00</x:v>
      </x:c>
      <x:c r="E39" t="str">
        <x:v>17:00</x:v>
      </x:c>
      <x:c r="F39" s="46" t="n">
        <x:v>1</x:v>
      </x:c>
      <x:c r="G39" s="46" t="n">
        <x:v>8</x:v>
      </x:c>
      <x:c r="H39" s="46" t="n">
        <x:v>8</x:v>
      </x:c>
      <x:c r="I39" s="46" t="n">
        <x:v>0</x:v>
      </x:c>
      <x:c r="J39"/>
      <x:c r="K39" t="str">
        <x:v>On Time</x:v>
      </x:c>
      <x:c r="L39" s="16"/>
    </x:row>
    <x:row r="40">
      <x:c r="A40" s="22" t="n">
        <x:v>46295</x:v>
      </x:c>
      <x:c r="B40" t="str">
        <x:v>Wednesday</x:v>
      </x:c>
      <x:c r="C40" t="str">
        <x:v>08:00-17:00</x:v>
      </x:c>
      <x:c r="D40" t="str">
        <x:v>07:56</x:v>
      </x:c>
      <x:c r="E40" t="str">
        <x:v>17:04</x:v>
      </x:c>
      <x:c r="F40" s="46" t="n">
        <x:v>1</x:v>
      </x:c>
      <x:c r="G40" s="46" t="n">
        <x:v>8.13</x:v>
      </x:c>
      <x:c r="H40" s="46" t="n">
        <x:v>8.13</x:v>
      </x:c>
      <x:c r="I40" s="46" t="n">
        <x:v>0</x:v>
      </x:c>
      <x:c r="J40"/>
      <x:c r="K40" t="str">
        <x:v>On Time</x:v>
      </x:c>
      <x:c r="L40" s="16"/>
    </x:row>
    <x:row r="42" ht="34" customHeight="1">
      <x:c r="A42" s="77" t="str">
        <x:v>Certification: This statement summarizes recorded work time and payroll calculation for the reporting period. Employer identifiers and estimated payroll deductions must be verified before official submission.</x:v>
      </x:c>
    </x:row>
    <x:row r="44">
      <x:c r="A44" t="str">
        <x:v>Authorized Employer Representative</x:v>
      </x:c>
      <x:c r="B44" t="str"/>
      <x:c r="C44" t="str"/>
      <x:c r="D44" t="str"/>
      <x:c r="E44" t="str"/>
      <x:c r="F44" t="str">
        <x:v>Employee Acknowledgement</x:v>
      </x:c>
      <x:c r="G44" t="str"/>
      <x:c r="H44" t="str"/>
      <x:c r="I44" t="str"/>
      <x:c r="J44" t="str"/>
      <x:c r="K44" t="str">
        <x:v>Date</x:v>
      </x:c>
      <x:c r="L44" t="str"/>
    </x:row>
    <x:row r="45">
      <x:c r="A45" t="str">
        <x:v>Signature: __________________________</x:v>
      </x:c>
      <x:c r="B45" t="str"/>
      <x:c r="C45" t="str"/>
      <x:c r="D45" t="str"/>
      <x:c r="E45" t="str"/>
      <x:c r="F45" t="str">
        <x:v>Signature: __________________________</x:v>
      </x:c>
      <x:c r="G45" t="str"/>
      <x:c r="H45" t="str"/>
      <x:c r="I45" t="str"/>
      <x:c r="J45" t="str"/>
      <x:c r="K45" t="str">
        <x:v>________________</x:v>
      </x:c>
      <x:c r="L45" t="str"/>
    </x:row>
  </x:sheetData>
  <x:mergeCells>
    <x:mergeCell ref="A1:L1"/>
    <x:mergeCell ref="B3:F3"/>
    <x:mergeCell ref="B4:F4"/>
    <x:mergeCell ref="B5:F5"/>
    <x:mergeCell ref="H3:L3"/>
    <x:mergeCell ref="H4:L4"/>
    <x:mergeCell ref="H5:L5"/>
    <x:mergeCell ref="A9:L9"/>
    <x:mergeCell ref="A13:L13"/>
    <x:mergeCell ref="A42:L4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4" hidden="0" customWidth="1"/>
    <x:col min="4" max="4" width="11" hidden="0" customWidth="1"/>
    <x:col min="5" max="5" width="11" hidden="0" customWidth="1"/>
    <x:col min="6" max="6" width="9" hidden="0" customWidth="1"/>
    <x:col min="7" max="7" width="16" hidden="0" customWidth="1"/>
    <x:col min="8" max="8" width="11" hidden="0" customWidth="1"/>
    <x:col min="9" max="9" width="16" hidden="0" customWidth="1"/>
    <x:col min="10" max="10" width="16" hidden="0" customWidth="1"/>
    <x:col min="11" max="11" width="15" hidden="0" customWidth="1"/>
    <x:col min="12" max="12" width="42" hidden="0" customWidth="1"/>
  </x:cols>
  <x:sheetData>
    <x:row r="1" ht="28" customHeight="1">
      <x:c r="A1" s="3" t="str">
        <x:v>Employee Work &amp; Payroll Statement</x:v>
      </x:c>
    </x:row>
    <x:row r="3">
      <x:c r="A3" s="71" t="str">
        <x:v>Employer Legal Name</x:v>
      </x:c>
      <x:c r="B3" t="str">
        <x:f>Settings!$B$8</x:f>
        <x:v>REPLACE BEFORE OFFICIAL USE</x:v>
      </x:c>
      <x:c r="G3" s="71" t="str">
        <x:v>Reporting Period</x:v>
      </x:c>
      <x:c r="H3" t="str">
        <x:v>2026-09-01 to 2026-09-30</x:v>
      </x:c>
    </x:row>
    <x:row r="4">
      <x:c r="A4" s="71" t="str">
        <x:v>CRA Business Number</x:v>
      </x:c>
      <x:c r="B4" t="str">
        <x:f>Settings!$B$9</x:f>
        <x:v>REPLACE BEFORE OFFICIAL USE</x:v>
      </x:c>
      <x:c r="G4" s="71" t="str">
        <x:v>Pay Date</x:v>
      </x:c>
      <x:c r="H4" t="str">
        <x:v>2026-10-05</x:v>
      </x:c>
    </x:row>
    <x:row r="5">
      <x:c r="A5" s="71" t="str">
        <x:v>Employer Address</x:v>
      </x:c>
      <x:c r="B5" t="str">
        <x:f>Settings!$B$10&amp;", "&amp;Settings!$B$11</x:f>
        <x:v>REPLACE BEFORE OFFICIAL USE, REPLACE BEFORE OFFICIAL USE</x:v>
      </x:c>
      <x:c r="G5" s="71" t="str">
        <x:v>Province</x:v>
      </x:c>
      <x:c r="H5" t="str">
        <x:v>Ontario</x:v>
      </x:c>
    </x:row>
    <x:row r="7">
      <x:c r="A7" s="71" t="str">
        <x:v>Employee ID</x:v>
      </x:c>
      <x:c r="B7" t="str">
        <x:v>EMP-005</x:v>
      </x:c>
      <x:c r="C7" s="71" t="str">
        <x:v>Full Name</x:v>
      </x:c>
      <x:c r="D7" t="str">
        <x:v>Sophia Nguyen</x:v>
      </x:c>
      <x:c r="E7" s="71" t="str">
        <x:v>Department</x:v>
      </x:c>
      <x:c r="F7" t="str">
        <x:v>Human Resources</x:v>
      </x:c>
      <x:c r="G7" s="71" t="str">
        <x:v>Job Code</x:v>
      </x:c>
      <x:c r="H7" t="str">
        <x:v>HR-02</x:v>
      </x:c>
      <x:c r="I7" s="71" t="str">
        <x:v>Hourly Rate (CAD)</x:v>
      </x:c>
      <x:c r="J7" s="34" t="n">
        <x:v>31</x:v>
      </x:c>
      <x:c r="K7" s="71" t="str">
        <x:v>Status</x:v>
      </x:c>
      <x:c r="L7" t="str">
        <x:v>Active</x:v>
      </x:c>
    </x:row>
    <x:row r="9" ht="22" customHeight="1">
      <x:c r="A9" s="19" t="str">
        <x:v>Payroll Summary</x:v>
      </x:c>
    </x:row>
    <x:row r="10" ht="30" customHeight="1">
      <x:c r="A10" s="10" t="str">
        <x:v>Regular Hours</x:v>
      </x:c>
      <x:c r="B10" s="10" t="str">
        <x:v>Overtime Hours</x:v>
      </x:c>
      <x:c r="C10" s="10" t="str">
        <x:v>Paid Leave Hours</x:v>
      </x:c>
      <x:c r="D10" s="10" t="str">
        <x:v>Public Holiday Hours</x:v>
      </x:c>
      <x:c r="E10" s="10" t="str">
        <x:v>Unpaid Leave Hours</x:v>
      </x:c>
      <x:c r="F10" s="10" t="str">
        <x:v>Gross Pay (CAD)</x:v>
      </x:c>
      <x:c r="G10" s="10" t="str">
        <x:v>CPP (Est.)</x:v>
      </x:c>
      <x:c r="H10" s="10" t="str">
        <x:v>CPP2 (Est.)</x:v>
      </x:c>
      <x:c r="I10" s="10" t="str">
        <x:v>EI (Est.)</x:v>
      </x:c>
      <x:c r="J10" s="10" t="str">
        <x:v>Tax (Est.)</x:v>
      </x:c>
      <x:c r="K10" s="10" t="str">
        <x:v>Total Deductions (Est.)</x:v>
      </x:c>
      <x:c r="L10" s="10" t="str">
        <x:v>Net Pay (Est.)</x:v>
      </x:c>
    </x:row>
    <x:row r="11">
      <x:c r="A11" s="46" t="n">
        <x:v>184.26000000000002</x:v>
      </x:c>
      <x:c r="B11" s="46" t="n">
        <x:v>2.75</x:v>
      </x:c>
      <x:c r="C11" s="46" t="n">
        <x:v>2</x:v>
      </x:c>
      <x:c r="D11" s="46" t="n">
        <x:v>8</x:v>
      </x:c>
      <x:c r="E11" s="46" t="n">
        <x:v>0</x:v>
      </x:c>
      <x:c r="F11" s="34" t="n">
        <x:v>6518.9400000000005</x:v>
      </x:c>
      <x:c r="G11" s="34" t="n">
        <x:v>352.54</x:v>
      </x:c>
      <x:c r="H11" s="34" t="n">
        <x:v>12.09</x:v>
      </x:c>
      <x:c r="I11" s="34" t="n">
        <x:v>93.59</x:v>
      </x:c>
      <x:c r="J11" s="34" t="n">
        <x:v>1494.24</x:v>
      </x:c>
      <x:c r="K11" s="34" t="n">
        <x:v>1952.46</x:v>
      </x:c>
      <x:c r="L11" s="34" t="n">
        <x:v>4566.4800000000005</x:v>
      </x:c>
    </x:row>
    <x:row r="13" ht="22" customHeight="1">
      <x:c r="A13" s="19" t="str">
        <x:v>Daily Work Record</x:v>
      </x:c>
    </x:row>
    <x:row r="14" ht="30" customHeight="1">
      <x:c r="A14" s="10" t="str">
        <x:v>Date</x:v>
      </x:c>
      <x:c r="B14" s="10" t="str">
        <x:v>Day</x:v>
      </x:c>
      <x:c r="C14" s="10" t="str">
        <x:v>Scheduled</x:v>
      </x:c>
      <x:c r="D14" s="10" t="str">
        <x:v>Clock In</x:v>
      </x:c>
      <x:c r="E14" s="10" t="str">
        <x:v>Clock Out</x:v>
      </x:c>
      <x:c r="F14" s="10" t="str">
        <x:v>Break</x:v>
      </x:c>
      <x:c r="G14" s="10" t="str">
        <x:v>Worked</x:v>
      </x:c>
      <x:c r="H14" s="10" t="str">
        <x:v>Regular</x:v>
      </x:c>
      <x:c r="I14" s="10" t="str">
        <x:v>Overtime</x:v>
      </x:c>
      <x:c r="J14" s="10" t="str">
        <x:v>Leave</x:v>
      </x:c>
      <x:c r="K14" s="10" t="str">
        <x:v>Status</x:v>
      </x:c>
      <x:c r="L14" s="10" t="str">
        <x:v>Notes</x:v>
      </x:c>
    </x:row>
    <x:row r="15">
      <x:c r="A15" s="22" t="n">
        <x:v>46266</x:v>
      </x:c>
      <x:c r="B15" t="str">
        <x:v>Tuesday</x:v>
      </x:c>
      <x:c r="C15" t="str">
        <x:v>08:00-17:00</x:v>
      </x:c>
      <x:c r="D15" t="str">
        <x:v>08:00</x:v>
      </x:c>
      <x:c r="E15" t="str">
        <x:v>17:06</x:v>
      </x:c>
      <x:c r="F15" s="46" t="n">
        <x:v>1</x:v>
      </x:c>
      <x:c r="G15" s="46" t="n">
        <x:v>8.1</x:v>
      </x:c>
      <x:c r="H15" s="46" t="n">
        <x:v>8.1</x:v>
      </x:c>
      <x:c r="I15" s="46" t="n">
        <x:v>0</x:v>
      </x:c>
      <x:c r="J15"/>
      <x:c r="K15" t="str">
        <x:v>On Time</x:v>
      </x:c>
      <x:c r="L15" s="16"/>
    </x:row>
    <x:row r="16">
      <x:c r="A16" s="22" t="n">
        <x:v>46267</x:v>
      </x:c>
      <x:c r="B16" t="str">
        <x:v>Wednesday</x:v>
      </x:c>
      <x:c r="C16" t="str">
        <x:v>08:00-17:00</x:v>
      </x:c>
      <x:c r="D16" t="str">
        <x:v>08:00</x:v>
      </x:c>
      <x:c r="E16" t="str">
        <x:v>17:02</x:v>
      </x:c>
      <x:c r="F16" s="46" t="n">
        <x:v>1</x:v>
      </x:c>
      <x:c r="G16" s="46" t="n">
        <x:v>8.03</x:v>
      </x:c>
      <x:c r="H16" s="46" t="n">
        <x:v>8.03</x:v>
      </x:c>
      <x:c r="I16" s="46" t="n">
        <x:v>0</x:v>
      </x:c>
      <x:c r="J16"/>
      <x:c r="K16" t="str">
        <x:v>On Time</x:v>
      </x:c>
      <x:c r="L16" s="16"/>
    </x:row>
    <x:row r="17">
      <x:c r="A17" s="22" t="n">
        <x:v>46268</x:v>
      </x:c>
      <x:c r="B17" t="str">
        <x:v>Thursday</x:v>
      </x:c>
      <x:c r="C17" t="str">
        <x:v>08:00-17:00</x:v>
      </x:c>
      <x:c r="D17" t="str">
        <x:v>08:02</x:v>
      </x:c>
      <x:c r="E17" t="str">
        <x:v>17:02</x:v>
      </x:c>
      <x:c r="F17" s="46" t="n">
        <x:v>1</x:v>
      </x:c>
      <x:c r="G17" s="46" t="n">
        <x:v>8</x:v>
      </x:c>
      <x:c r="H17" s="46" t="n">
        <x:v>8</x:v>
      </x:c>
      <x:c r="I17" s="46" t="n">
        <x:v>0</x:v>
      </x:c>
      <x:c r="J17"/>
      <x:c r="K17" t="str">
        <x:v>Late</x:v>
      </x:c>
      <x:c r="L17" s="16"/>
    </x:row>
    <x:row r="18">
      <x:c r="A18" s="22" t="n">
        <x:v>46269</x:v>
      </x:c>
      <x:c r="B18" t="str">
        <x:v>Friday</x:v>
      </x:c>
      <x:c r="C18" t="str">
        <x:v>08:00-17:00</x:v>
      </x:c>
      <x:c r="D18" t="str">
        <x:v>08:03</x:v>
      </x:c>
      <x:c r="E18" t="str">
        <x:v>17:00</x:v>
      </x:c>
      <x:c r="F18" s="46" t="n">
        <x:v>1</x:v>
      </x:c>
      <x:c r="G18" s="46" t="n">
        <x:v>7.95</x:v>
      </x:c>
      <x:c r="H18" s="46" t="n">
        <x:v>7.95</x:v>
      </x:c>
      <x:c r="I18" s="46" t="n">
        <x:v>0</x:v>
      </x:c>
      <x:c r="J18"/>
      <x:c r="K18" t="str">
        <x:v>Late</x:v>
      </x:c>
      <x:c r="L18" s="16" t="str">
        <x:v>Arrived 3 minutes late.</x:v>
      </x:c>
    </x:row>
    <x:row r="19">
      <x:c r="A19" s="22" t="n">
        <x:v>46270</x:v>
      </x:c>
      <x:c r="B19" t="str">
        <x:v>Saturday</x:v>
      </x:c>
      <x:c r="C19" t="str">
        <x:v>08:00-14:00</x:v>
      </x:c>
      <x:c r="D19" t="str">
        <x:v>08:01</x:v>
      </x:c>
      <x:c r="E19" t="str">
        <x:v>14:03</x:v>
      </x:c>
      <x:c r="F19" s="46" t="n">
        <x:v>1</x:v>
      </x:c>
      <x:c r="G19" s="46" t="n">
        <x:v>5.03</x:v>
      </x:c>
      <x:c r="H19" s="46" t="n">
        <x:v>3.94</x:v>
      </x:c>
      <x:c r="I19" s="46" t="n">
        <x:v>1.09</x:v>
      </x:c>
      <x:c r="J19"/>
      <x:c r="K19" t="str">
        <x:v>Overtime</x:v>
      </x:c>
      <x:c r="L19" s="16"/>
    </x:row>
    <x:row r="20">
      <x:c r="A20" s="22" t="n">
        <x:v>46272</x:v>
      </x:c>
      <x:c r="B20" t="str">
        <x:v>Monday</x:v>
      </x:c>
      <x:c r="C20" t="str">
        <x:v>08:00-17:00</x:v>
      </x:c>
      <x:c r="D20"/>
      <x:c r="E20"/>
      <x:c r="F20" s="46" t="n">
        <x:v>0</x:v>
      </x:c>
      <x:c r="G20" s="46" t="n">
        <x:v>0</x:v>
      </x:c>
      <x:c r="H20" s="46" t="n">
        <x:v>0</x:v>
      </x:c>
      <x:c r="I20" s="46" t="n">
        <x:v>0</x:v>
      </x:c>
      <x:c r="J20" t="str">
        <x:v>Public Holiday</x:v>
      </x:c>
      <x:c r="K20" t="str">
        <x:v>Public Holiday</x:v>
      </x:c>
      <x:c r="L20" s="16" t="str">
        <x:v>Labour Day</x:v>
      </x:c>
    </x:row>
    <x:row r="21">
      <x:c r="A21" s="22" t="n">
        <x:v>46273</x:v>
      </x:c>
      <x:c r="B21" t="str">
        <x:v>Tuesday</x:v>
      </x:c>
      <x:c r="C21" t="str">
        <x:v>08:00-17:00</x:v>
      </x:c>
      <x:c r="D21" t="str">
        <x:v>08:01</x:v>
      </x:c>
      <x:c r="E21" t="str">
        <x:v>17:06</x:v>
      </x:c>
      <x:c r="F21" s="46" t="n">
        <x:v>1</x:v>
      </x:c>
      <x:c r="G21" s="46" t="n">
        <x:v>8.08</x:v>
      </x:c>
      <x:c r="H21" s="46" t="n">
        <x:v>8.08</x:v>
      </x:c>
      <x:c r="I21" s="46" t="n">
        <x:v>0</x:v>
      </x:c>
      <x:c r="J21"/>
      <x:c r="K21" t="str">
        <x:v>Late</x:v>
      </x:c>
      <x:c r="L21" s="16"/>
    </x:row>
    <x:row r="22">
      <x:c r="A22" s="22" t="n">
        <x:v>46274</x:v>
      </x:c>
      <x:c r="B22" t="str">
        <x:v>Wednesday</x:v>
      </x:c>
      <x:c r="C22" t="str">
        <x:v>08:00-17:00</x:v>
      </x:c>
      <x:c r="D22" t="str">
        <x:v>07:57</x:v>
      </x:c>
      <x:c r="E22" t="str">
        <x:v>17:00</x:v>
      </x:c>
      <x:c r="F22" s="46" t="n">
        <x:v>1</x:v>
      </x:c>
      <x:c r="G22" s="46" t="n">
        <x:v>8.05</x:v>
      </x:c>
      <x:c r="H22" s="46" t="n">
        <x:v>8.05</x:v>
      </x:c>
      <x:c r="I22" s="46" t="n">
        <x:v>0</x:v>
      </x:c>
      <x:c r="J22"/>
      <x:c r="K22" t="str">
        <x:v>On Time</x:v>
      </x:c>
      <x:c r="L22" s="16"/>
    </x:row>
    <x:row r="23">
      <x:c r="A23" s="22" t="n">
        <x:v>46275</x:v>
      </x:c>
      <x:c r="B23" t="str">
        <x:v>Thursday</x:v>
      </x:c>
      <x:c r="C23" t="str">
        <x:v>08:00-17:00</x:v>
      </x:c>
      <x:c r="D23" t="str">
        <x:v>08:02</x:v>
      </x:c>
      <x:c r="E23" t="str">
        <x:v>17:02</x:v>
      </x:c>
      <x:c r="F23" s="46" t="n">
        <x:v>1</x:v>
      </x:c>
      <x:c r="G23" s="46" t="n">
        <x:v>8</x:v>
      </x:c>
      <x:c r="H23" s="46" t="n">
        <x:v>8</x:v>
      </x:c>
      <x:c r="I23" s="46" t="n">
        <x:v>0</x:v>
      </x:c>
      <x:c r="J23"/>
      <x:c r="K23" t="str">
        <x:v>Late</x:v>
      </x:c>
      <x:c r="L23" s="16"/>
    </x:row>
    <x:row r="24">
      <x:c r="A24" s="22" t="n">
        <x:v>46276</x:v>
      </x:c>
      <x:c r="B24" t="str">
        <x:v>Friday</x:v>
      </x:c>
      <x:c r="C24" t="str">
        <x:v>08:00-17:00</x:v>
      </x:c>
      <x:c r="D24" t="str">
        <x:v>07:59</x:v>
      </x:c>
      <x:c r="E24" t="str">
        <x:v>17:00</x:v>
      </x:c>
      <x:c r="F24" s="46" t="n">
        <x:v>1</x:v>
      </x:c>
      <x:c r="G24" s="46" t="n">
        <x:v>8.02</x:v>
      </x:c>
      <x:c r="H24" s="46" t="n">
        <x:v>8.02</x:v>
      </x:c>
      <x:c r="I24" s="46" t="n">
        <x:v>0</x:v>
      </x:c>
      <x:c r="J24"/>
      <x:c r="K24" t="str">
        <x:v>On Time</x:v>
      </x:c>
      <x:c r="L24" s="16"/>
    </x:row>
    <x:row r="25">
      <x:c r="A25" s="22" t="n">
        <x:v>46277</x:v>
      </x:c>
      <x:c r="B25" t="str">
        <x:v>Saturday</x:v>
      </x:c>
      <x:c r="C25" t="str">
        <x:v>08:00-14:00</x:v>
      </x:c>
      <x:c r="D25" t="str">
        <x:v>07:58</x:v>
      </x:c>
      <x:c r="E25" t="str">
        <x:v>13:59</x:v>
      </x:c>
      <x:c r="F25" s="46" t="n">
        <x:v>1</x:v>
      </x:c>
      <x:c r="G25" s="46" t="n">
        <x:v>5.02</x:v>
      </x:c>
      <x:c r="H25" s="46" t="n">
        <x:v>5.02</x:v>
      </x:c>
      <x:c r="I25" s="46" t="n">
        <x:v>0</x:v>
      </x:c>
      <x:c r="J25"/>
      <x:c r="K25" t="str">
        <x:v>Left Early</x:v>
      </x:c>
      <x:c r="L25" s="16"/>
    </x:row>
    <x:row r="26">
      <x:c r="A26" s="22" t="n">
        <x:v>46279</x:v>
      </x:c>
      <x:c r="B26" t="str">
        <x:v>Monday</x:v>
      </x:c>
      <x:c r="C26" t="str">
        <x:v>08:00-17:00</x:v>
      </x:c>
      <x:c r="D26" t="str">
        <x:v>07:56</x:v>
      </x:c>
      <x:c r="E26" t="str">
        <x:v>16:59</x:v>
      </x:c>
      <x:c r="F26" s="46" t="n">
        <x:v>1</x:v>
      </x:c>
      <x:c r="G26" s="46" t="n">
        <x:v>8.05</x:v>
      </x:c>
      <x:c r="H26" s="46" t="n">
        <x:v>8.05</x:v>
      </x:c>
      <x:c r="I26" s="46" t="n">
        <x:v>0</x:v>
      </x:c>
      <x:c r="J26"/>
      <x:c r="K26" t="str">
        <x:v>Left Early</x:v>
      </x:c>
      <x:c r="L26" s="16"/>
    </x:row>
    <x:row r="27">
      <x:c r="A27" s="22" t="n">
        <x:v>46280</x:v>
      </x:c>
      <x:c r="B27" t="str">
        <x:v>Tuesday</x:v>
      </x:c>
      <x:c r="C27" t="str">
        <x:v>08:00-17:00</x:v>
      </x:c>
      <x:c r="D27" t="str">
        <x:v>08:00</x:v>
      </x:c>
      <x:c r="E27" t="str">
        <x:v>17:04</x:v>
      </x:c>
      <x:c r="F27" s="46" t="n">
        <x:v>1</x:v>
      </x:c>
      <x:c r="G27" s="46" t="n">
        <x:v>8.07</x:v>
      </x:c>
      <x:c r="H27" s="46" t="n">
        <x:v>8.07</x:v>
      </x:c>
      <x:c r="I27" s="46" t="n">
        <x:v>0</x:v>
      </x:c>
      <x:c r="J27"/>
      <x:c r="K27" t="str">
        <x:v>On Time</x:v>
      </x:c>
      <x:c r="L27" s="16"/>
    </x:row>
    <x:row r="28">
      <x:c r="A28" s="22" t="n">
        <x:v>46281</x:v>
      </x:c>
      <x:c r="B28" t="str">
        <x:v>Wednesday</x:v>
      </x:c>
      <x:c r="C28" t="str">
        <x:v>08:00-17:00</x:v>
      </x:c>
      <x:c r="D28" t="str">
        <x:v>08:02</x:v>
      </x:c>
      <x:c r="E28" t="str">
        <x:v>17:01</x:v>
      </x:c>
      <x:c r="F28" s="46" t="n">
        <x:v>1</x:v>
      </x:c>
      <x:c r="G28" s="46" t="n">
        <x:v>7.98</x:v>
      </x:c>
      <x:c r="H28" s="46" t="n">
        <x:v>7.98</x:v>
      </x:c>
      <x:c r="I28" s="46" t="n">
        <x:v>0</x:v>
      </x:c>
      <x:c r="J28"/>
      <x:c r="K28" t="str">
        <x:v>Late</x:v>
      </x:c>
      <x:c r="L28" s="16"/>
    </x:row>
    <x:row r="29">
      <x:c r="A29" s="22" t="n">
        <x:v>46282</x:v>
      </x:c>
      <x:c r="B29" t="str">
        <x:v>Thursday</x:v>
      </x:c>
      <x:c r="C29" t="str">
        <x:v>08:00-17:00</x:v>
      </x:c>
      <x:c r="D29" t="str">
        <x:v>10:00</x:v>
      </x:c>
      <x:c r="E29" t="str">
        <x:v>17:00</x:v>
      </x:c>
      <x:c r="F29" s="46" t="n">
        <x:v>1</x:v>
      </x:c>
      <x:c r="G29" s="46" t="n">
        <x:v>6</x:v>
      </x:c>
      <x:c r="H29" s="46" t="n">
        <x:v>6</x:v>
      </x:c>
      <x:c r="I29" s="46" t="n">
        <x:v>0</x:v>
      </x:c>
      <x:c r="J29" t="str">
        <x:v>Paid Leave</x:v>
      </x:c>
      <x:c r="K29" t="str">
        <x:v>Paid Leave</x:v>
      </x:c>
      <x:c r="L29" s="16" t="str">
        <x:v>Approved 2-hour paid personal leave in the morning.</x:v>
      </x:c>
    </x:row>
    <x:row r="30">
      <x:c r="A30" s="22" t="n">
        <x:v>46283</x:v>
      </x:c>
      <x:c r="B30" t="str">
        <x:v>Friday</x:v>
      </x:c>
      <x:c r="C30" t="str">
        <x:v>08:00-17:00</x:v>
      </x:c>
      <x:c r="D30" t="str">
        <x:v>08:02</x:v>
      </x:c>
      <x:c r="E30" t="str">
        <x:v>16:59</x:v>
      </x:c>
      <x:c r="F30" s="46" t="n">
        <x:v>1</x:v>
      </x:c>
      <x:c r="G30" s="46" t="n">
        <x:v>7.95</x:v>
      </x:c>
      <x:c r="H30" s="46" t="n">
        <x:v>7.95</x:v>
      </x:c>
      <x:c r="I30" s="46" t="n">
        <x:v>0</x:v>
      </x:c>
      <x:c r="J30"/>
      <x:c r="K30" t="str">
        <x:v>Late</x:v>
      </x:c>
      <x:c r="L30" s="16"/>
    </x:row>
    <x:row r="31">
      <x:c r="A31" s="22" t="n">
        <x:v>46284</x:v>
      </x:c>
      <x:c r="B31" t="str">
        <x:v>Saturday</x:v>
      </x:c>
      <x:c r="C31" t="str">
        <x:v>08:00-14:00</x:v>
      </x:c>
      <x:c r="D31" t="str">
        <x:v>08:02</x:v>
      </x:c>
      <x:c r="E31" t="str">
        <x:v>14:02</x:v>
      </x:c>
      <x:c r="F31" s="46" t="n">
        <x:v>1</x:v>
      </x:c>
      <x:c r="G31" s="46" t="n">
        <x:v>5</x:v>
      </x:c>
      <x:c r="H31" s="46" t="n">
        <x:v>5</x:v>
      </x:c>
      <x:c r="I31" s="46" t="n">
        <x:v>0</x:v>
      </x:c>
      <x:c r="J31"/>
      <x:c r="K31" t="str">
        <x:v>Late</x:v>
      </x:c>
      <x:c r="L31" s="16"/>
    </x:row>
    <x:row r="32">
      <x:c r="A32" s="22" t="n">
        <x:v>46286</x:v>
      </x:c>
      <x:c r="B32" t="str">
        <x:v>Monday</x:v>
      </x:c>
      <x:c r="C32" t="str">
        <x:v>08:00-17:00</x:v>
      </x:c>
      <x:c r="D32" t="str">
        <x:v>08:00</x:v>
      </x:c>
      <x:c r="E32" t="str">
        <x:v>17:20</x:v>
      </x:c>
      <x:c r="F32" s="46" t="n">
        <x:v>1</x:v>
      </x:c>
      <x:c r="G32" s="46" t="n">
        <x:v>8.33</x:v>
      </x:c>
      <x:c r="H32" s="46" t="n">
        <x:v>8.33</x:v>
      </x:c>
      <x:c r="I32" s="46" t="n">
        <x:v>0</x:v>
      </x:c>
      <x:c r="J32"/>
      <x:c r="K32" t="str">
        <x:v>On Time</x:v>
      </x:c>
      <x:c r="L32" s="16" t="str">
        <x:v>Stayed 20 minutes to complete employee relations documentation.</x:v>
      </x:c>
    </x:row>
    <x:row r="33">
      <x:c r="A33" s="22" t="n">
        <x:v>46287</x:v>
      </x:c>
      <x:c r="B33" t="str">
        <x:v>Tuesday</x:v>
      </x:c>
      <x:c r="C33" t="str">
        <x:v>08:00-17:00</x:v>
      </x:c>
      <x:c r="D33" t="str">
        <x:v>08:01</x:v>
      </x:c>
      <x:c r="E33" t="str">
        <x:v>17:06</x:v>
      </x:c>
      <x:c r="F33" s="46" t="n">
        <x:v>1</x:v>
      </x:c>
      <x:c r="G33" s="46" t="n">
        <x:v>8.08</x:v>
      </x:c>
      <x:c r="H33" s="46" t="n">
        <x:v>8.08</x:v>
      </x:c>
      <x:c r="I33" s="46" t="n">
        <x:v>0</x:v>
      </x:c>
      <x:c r="J33"/>
      <x:c r="K33" t="str">
        <x:v>Late</x:v>
      </x:c>
      <x:c r="L33" s="16"/>
    </x:row>
    <x:row r="34">
      <x:c r="A34" s="22" t="n">
        <x:v>46288</x:v>
      </x:c>
      <x:c r="B34" t="str">
        <x:v>Wednesday</x:v>
      </x:c>
      <x:c r="C34" t="str">
        <x:v>08:00-17:00</x:v>
      </x:c>
      <x:c r="D34" t="str">
        <x:v>08:01</x:v>
      </x:c>
      <x:c r="E34" t="str">
        <x:v>17:04</x:v>
      </x:c>
      <x:c r="F34" s="46" t="n">
        <x:v>1</x:v>
      </x:c>
      <x:c r="G34" s="46" t="n">
        <x:v>8.05</x:v>
      </x:c>
      <x:c r="H34" s="46" t="n">
        <x:v>8.05</x:v>
      </x:c>
      <x:c r="I34" s="46" t="n">
        <x:v>0</x:v>
      </x:c>
      <x:c r="J34"/>
      <x:c r="K34" t="str">
        <x:v>Late</x:v>
      </x:c>
      <x:c r="L34" s="16"/>
    </x:row>
    <x:row r="35">
      <x:c r="A35" s="22" t="n">
        <x:v>46289</x:v>
      </x:c>
      <x:c r="B35" t="str">
        <x:v>Thursday</x:v>
      </x:c>
      <x:c r="C35" t="str">
        <x:v>08:00-17:00</x:v>
      </x:c>
      <x:c r="D35" t="str">
        <x:v>07:59</x:v>
      </x:c>
      <x:c r="E35" t="str">
        <x:v>17:02</x:v>
      </x:c>
      <x:c r="F35" s="46" t="n">
        <x:v>1</x:v>
      </x:c>
      <x:c r="G35" s="46" t="n">
        <x:v>8.05</x:v>
      </x:c>
      <x:c r="H35" s="46" t="n">
        <x:v>8.05</x:v>
      </x:c>
      <x:c r="I35" s="46" t="n">
        <x:v>0</x:v>
      </x:c>
      <x:c r="J35"/>
      <x:c r="K35" t="str">
        <x:v>On Time</x:v>
      </x:c>
      <x:c r="L35" s="16"/>
    </x:row>
    <x:row r="36">
      <x:c r="A36" s="22" t="n">
        <x:v>46290</x:v>
      </x:c>
      <x:c r="B36" t="str">
        <x:v>Friday</x:v>
      </x:c>
      <x:c r="C36" t="str">
        <x:v>08:00-17:00</x:v>
      </x:c>
      <x:c r="D36" t="str">
        <x:v>07:56</x:v>
      </x:c>
      <x:c r="E36" t="str">
        <x:v>16:59</x:v>
      </x:c>
      <x:c r="F36" s="46" t="n">
        <x:v>1</x:v>
      </x:c>
      <x:c r="G36" s="46" t="n">
        <x:v>8.05</x:v>
      </x:c>
      <x:c r="H36" s="46" t="n">
        <x:v>8.05</x:v>
      </x:c>
      <x:c r="I36" s="46" t="n">
        <x:v>0</x:v>
      </x:c>
      <x:c r="J36"/>
      <x:c r="K36" t="str">
        <x:v>Left Early</x:v>
      </x:c>
      <x:c r="L36" s="16"/>
    </x:row>
    <x:row r="37">
      <x:c r="A37" s="22" t="n">
        <x:v>46291</x:v>
      </x:c>
      <x:c r="B37" t="str">
        <x:v>Saturday</x:v>
      </x:c>
      <x:c r="C37" t="str">
        <x:v>08:00-14:00</x:v>
      </x:c>
      <x:c r="D37" t="str">
        <x:v>07:56</x:v>
      </x:c>
      <x:c r="E37" t="str">
        <x:v>14:02</x:v>
      </x:c>
      <x:c r="F37" s="46" t="n">
        <x:v>1</x:v>
      </x:c>
      <x:c r="G37" s="46" t="n">
        <x:v>5.1</x:v>
      </x:c>
      <x:c r="H37" s="46" t="n">
        <x:v>3.44</x:v>
      </x:c>
      <x:c r="I37" s="46" t="n">
        <x:v>1.66</x:v>
      </x:c>
      <x:c r="J37"/>
      <x:c r="K37" t="str">
        <x:v>Overtime</x:v>
      </x:c>
      <x:c r="L37" s="16"/>
    </x:row>
    <x:row r="38">
      <x:c r="A38" s="22" t="n">
        <x:v>46293</x:v>
      </x:c>
      <x:c r="B38" t="str">
        <x:v>Monday</x:v>
      </x:c>
      <x:c r="C38" t="str">
        <x:v>08:00-17:00</x:v>
      </x:c>
      <x:c r="D38" t="str">
        <x:v>08:00</x:v>
      </x:c>
      <x:c r="E38" t="str">
        <x:v>16:58</x:v>
      </x:c>
      <x:c r="F38" s="46" t="n">
        <x:v>1</x:v>
      </x:c>
      <x:c r="G38" s="46" t="n">
        <x:v>7.97</x:v>
      </x:c>
      <x:c r="H38" s="46" t="n">
        <x:v>7.97</x:v>
      </x:c>
      <x:c r="I38" s="46" t="n">
        <x:v>0</x:v>
      </x:c>
      <x:c r="J38"/>
      <x:c r="K38" t="str">
        <x:v>Left Early</x:v>
      </x:c>
      <x:c r="L38" s="16"/>
    </x:row>
    <x:row r="39">
      <x:c r="A39" s="22" t="n">
        <x:v>46294</x:v>
      </x:c>
      <x:c r="B39" t="str">
        <x:v>Tuesday</x:v>
      </x:c>
      <x:c r="C39" t="str">
        <x:v>08:00-17:00</x:v>
      </x:c>
      <x:c r="D39" t="str">
        <x:v>08:00</x:v>
      </x:c>
      <x:c r="E39" t="str">
        <x:v>17:00</x:v>
      </x:c>
      <x:c r="F39" s="46" t="n">
        <x:v>1</x:v>
      </x:c>
      <x:c r="G39" s="46" t="n">
        <x:v>8</x:v>
      </x:c>
      <x:c r="H39" s="46" t="n">
        <x:v>8</x:v>
      </x:c>
      <x:c r="I39" s="46" t="n">
        <x:v>0</x:v>
      </x:c>
      <x:c r="J39"/>
      <x:c r="K39" t="str">
        <x:v>On Time</x:v>
      </x:c>
      <x:c r="L39" s="16"/>
    </x:row>
    <x:row r="40">
      <x:c r="A40" s="22" t="n">
        <x:v>46295</x:v>
      </x:c>
      <x:c r="B40" t="str">
        <x:v>Wednesday</x:v>
      </x:c>
      <x:c r="C40" t="str">
        <x:v>08:00-17:00</x:v>
      </x:c>
      <x:c r="D40" t="str">
        <x:v>08:00</x:v>
      </x:c>
      <x:c r="E40" t="str">
        <x:v>17:03</x:v>
      </x:c>
      <x:c r="F40" s="46" t="n">
        <x:v>1</x:v>
      </x:c>
      <x:c r="G40" s="46" t="n">
        <x:v>8.05</x:v>
      </x:c>
      <x:c r="H40" s="46" t="n">
        <x:v>8.05</x:v>
      </x:c>
      <x:c r="I40" s="46" t="n">
        <x:v>0</x:v>
      </x:c>
      <x:c r="J40"/>
      <x:c r="K40" t="str">
        <x:v>On Time</x:v>
      </x:c>
      <x:c r="L40" s="16"/>
    </x:row>
    <x:row r="42" ht="34" customHeight="1">
      <x:c r="A42" s="77" t="str">
        <x:v>Certification: This statement summarizes recorded work time and payroll calculation for the reporting period. Employer identifiers and estimated payroll deductions must be verified before official submission.</x:v>
      </x:c>
    </x:row>
    <x:row r="44">
      <x:c r="A44" t="str">
        <x:v>Authorized Employer Representative</x:v>
      </x:c>
      <x:c r="B44" t="str"/>
      <x:c r="C44" t="str"/>
      <x:c r="D44" t="str"/>
      <x:c r="E44" t="str"/>
      <x:c r="F44" t="str">
        <x:v>Employee Acknowledgement</x:v>
      </x:c>
      <x:c r="G44" t="str"/>
      <x:c r="H44" t="str"/>
      <x:c r="I44" t="str"/>
      <x:c r="J44" t="str"/>
      <x:c r="K44" t="str">
        <x:v>Date</x:v>
      </x:c>
      <x:c r="L44" t="str"/>
    </x:row>
    <x:row r="45">
      <x:c r="A45" t="str">
        <x:v>Signature: __________________________</x:v>
      </x:c>
      <x:c r="B45" t="str"/>
      <x:c r="C45" t="str"/>
      <x:c r="D45" t="str"/>
      <x:c r="E45" t="str"/>
      <x:c r="F45" t="str">
        <x:v>Signature: __________________________</x:v>
      </x:c>
      <x:c r="G45" t="str"/>
      <x:c r="H45" t="str"/>
      <x:c r="I45" t="str"/>
      <x:c r="J45" t="str"/>
      <x:c r="K45" t="str">
        <x:v>________________</x:v>
      </x:c>
      <x:c r="L45" t="str"/>
    </x:row>
  </x:sheetData>
  <x:mergeCells>
    <x:mergeCell ref="A1:L1"/>
    <x:mergeCell ref="B3:F3"/>
    <x:mergeCell ref="B4:F4"/>
    <x:mergeCell ref="B5:F5"/>
    <x:mergeCell ref="H3:L3"/>
    <x:mergeCell ref="H4:L4"/>
    <x:mergeCell ref="H5:L5"/>
    <x:mergeCell ref="A9:L9"/>
    <x:mergeCell ref="A13:L13"/>
    <x:mergeCell ref="A42:L4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14" hidden="0" customWidth="1"/>
    <x:col min="4" max="4" width="11" hidden="0" customWidth="1"/>
    <x:col min="5" max="5" width="11" hidden="0" customWidth="1"/>
    <x:col min="6" max="6" width="9" hidden="0" customWidth="1"/>
    <x:col min="7" max="7" width="16" hidden="0" customWidth="1"/>
    <x:col min="8" max="8" width="11" hidden="0" customWidth="1"/>
    <x:col min="9" max="9" width="16" hidden="0" customWidth="1"/>
    <x:col min="10" max="10" width="16" hidden="0" customWidth="1"/>
    <x:col min="11" max="11" width="15" hidden="0" customWidth="1"/>
    <x:col min="12" max="12" width="42" hidden="0" customWidth="1"/>
  </x:cols>
  <x:sheetData>
    <x:row r="1" ht="28" customHeight="1">
      <x:c r="A1" s="3" t="str">
        <x:v>Employee Work &amp; Payroll Statement</x:v>
      </x:c>
    </x:row>
    <x:row r="3">
      <x:c r="A3" s="71" t="str">
        <x:v>Employer Legal Name</x:v>
      </x:c>
      <x:c r="B3" t="str">
        <x:f>Settings!$B$8</x:f>
        <x:v>REPLACE BEFORE OFFICIAL USE</x:v>
      </x:c>
      <x:c r="G3" s="71" t="str">
        <x:v>Reporting Period</x:v>
      </x:c>
      <x:c r="H3" t="str">
        <x:v>2026-09-01 to 2026-09-30</x:v>
      </x:c>
    </x:row>
    <x:row r="4">
      <x:c r="A4" s="71" t="str">
        <x:v>CRA Business Number</x:v>
      </x:c>
      <x:c r="B4" t="str">
        <x:f>Settings!$B$9</x:f>
        <x:v>REPLACE BEFORE OFFICIAL USE</x:v>
      </x:c>
      <x:c r="G4" s="71" t="str">
        <x:v>Pay Date</x:v>
      </x:c>
      <x:c r="H4" t="str">
        <x:v>2026-10-05</x:v>
      </x:c>
    </x:row>
    <x:row r="5">
      <x:c r="A5" s="71" t="str">
        <x:v>Employer Address</x:v>
      </x:c>
      <x:c r="B5" t="str">
        <x:f>Settings!$B$10&amp;", "&amp;Settings!$B$11</x:f>
        <x:v>REPLACE BEFORE OFFICIAL USE, REPLACE BEFORE OFFICIAL USE</x:v>
      </x:c>
      <x:c r="G5" s="71" t="str">
        <x:v>Province</x:v>
      </x:c>
      <x:c r="H5" t="str">
        <x:v>Ontario</x:v>
      </x:c>
    </x:row>
    <x:row r="7">
      <x:c r="A7" s="71" t="str">
        <x:v>Employee ID</x:v>
      </x:c>
      <x:c r="B7" t="str">
        <x:v>EMP-006</x:v>
      </x:c>
      <x:c r="C7" s="71" t="str">
        <x:v>Full Name</x:v>
      </x:c>
      <x:c r="D7" t="str">
        <x:v>Ethan Brown</x:v>
      </x:c>
      <x:c r="E7" s="71" t="str">
        <x:v>Department</x:v>
      </x:c>
      <x:c r="F7" t="str">
        <x:v>Sales</x:v>
      </x:c>
      <x:c r="G7" s="71" t="str">
        <x:v>Job Code</x:v>
      </x:c>
      <x:c r="H7" t="str">
        <x:v>SAL-03</x:v>
      </x:c>
      <x:c r="I7" s="71" t="str">
        <x:v>Hourly Rate (CAD)</x:v>
      </x:c>
      <x:c r="J7" s="34" t="n">
        <x:v>27.8</x:v>
      </x:c>
      <x:c r="K7" s="71" t="str">
        <x:v>Status</x:v>
      </x:c>
      <x:c r="L7" t="str">
        <x:v>Active</x:v>
      </x:c>
    </x:row>
    <x:row r="9" ht="22" customHeight="1">
      <x:c r="A9" s="19" t="str">
        <x:v>Payroll Summary</x:v>
      </x:c>
    </x:row>
    <x:row r="10" ht="30" customHeight="1">
      <x:c r="A10" s="10" t="str">
        <x:v>Regular Hours</x:v>
      </x:c>
      <x:c r="B10" s="10" t="str">
        <x:v>Overtime Hours</x:v>
      </x:c>
      <x:c r="C10" s="10" t="str">
        <x:v>Paid Leave Hours</x:v>
      </x:c>
      <x:c r="D10" s="10" t="str">
        <x:v>Public Holiday Hours</x:v>
      </x:c>
      <x:c r="E10" s="10" t="str">
        <x:v>Unpaid Leave Hours</x:v>
      </x:c>
      <x:c r="F10" s="10" t="str">
        <x:v>Gross Pay (CAD)</x:v>
      </x:c>
      <x:c r="G10" s="10" t="str">
        <x:v>CPP (Est.)</x:v>
      </x:c>
      <x:c r="H10" s="10" t="str">
        <x:v>CPP2 (Est.)</x:v>
      </x:c>
      <x:c r="I10" s="10" t="str">
        <x:v>EI (Est.)</x:v>
      </x:c>
      <x:c r="J10" s="10" t="str">
        <x:v>Tax (Est.)</x:v>
      </x:c>
      <x:c r="K10" s="10" t="str">
        <x:v>Total Deductions (Est.)</x:v>
      </x:c>
      <x:c r="L10" s="10" t="str">
        <x:v>Net Pay (Est.)</x:v>
      </x:c>
    </x:row>
    <x:row r="11">
      <x:c r="A11" s="46" t="n">
        <x:v>182.83</x:v>
      </x:c>
      <x:c r="B11" s="46" t="n">
        <x:v>2.42</x:v>
      </x:c>
      <x:c r="C11" s="46" t="n">
        <x:v>0</x:v>
      </x:c>
      <x:c r="D11" s="46" t="n">
        <x:v>8</x:v>
      </x:c>
      <x:c r="E11" s="46" t="n">
        <x:v>4</x:v>
      </x:c>
      <x:c r="F11" s="34" t="n">
        <x:v>5622.219999999999</x:v>
      </x:c>
      <x:c r="G11" s="34" t="n">
        <x:v>317.17</x:v>
      </x:c>
      <x:c r="H11" s="34" t="n">
        <x:v>0</x:v>
      </x:c>
      <x:c r="I11" s="34" t="n">
        <x:v>91.64</x:v>
      </x:c>
      <x:c r="J11" s="34" t="n">
        <x:v>1215.87</x:v>
      </x:c>
      <x:c r="K11" s="34" t="n">
        <x:v>1624.6799999999998</x:v>
      </x:c>
      <x:c r="L11" s="34" t="n">
        <x:v>3997.5399999999995</x:v>
      </x:c>
    </x:row>
    <x:row r="13" ht="22" customHeight="1">
      <x:c r="A13" s="19" t="str">
        <x:v>Daily Work Record</x:v>
      </x:c>
    </x:row>
    <x:row r="14" ht="30" customHeight="1">
      <x:c r="A14" s="10" t="str">
        <x:v>Date</x:v>
      </x:c>
      <x:c r="B14" s="10" t="str">
        <x:v>Day</x:v>
      </x:c>
      <x:c r="C14" s="10" t="str">
        <x:v>Scheduled</x:v>
      </x:c>
      <x:c r="D14" s="10" t="str">
        <x:v>Clock In</x:v>
      </x:c>
      <x:c r="E14" s="10" t="str">
        <x:v>Clock Out</x:v>
      </x:c>
      <x:c r="F14" s="10" t="str">
        <x:v>Break</x:v>
      </x:c>
      <x:c r="G14" s="10" t="str">
        <x:v>Worked</x:v>
      </x:c>
      <x:c r="H14" s="10" t="str">
        <x:v>Regular</x:v>
      </x:c>
      <x:c r="I14" s="10" t="str">
        <x:v>Overtime</x:v>
      </x:c>
      <x:c r="J14" s="10" t="str">
        <x:v>Leave</x:v>
      </x:c>
      <x:c r="K14" s="10" t="str">
        <x:v>Status</x:v>
      </x:c>
      <x:c r="L14" s="10" t="str">
        <x:v>Notes</x:v>
      </x:c>
    </x:row>
    <x:row r="15">
      <x:c r="A15" s="22" t="n">
        <x:v>46266</x:v>
      </x:c>
      <x:c r="B15" t="str">
        <x:v>Tuesday</x:v>
      </x:c>
      <x:c r="C15" t="str">
        <x:v>08:00-17:00</x:v>
      </x:c>
      <x:c r="D15" t="str">
        <x:v>08:05</x:v>
      </x:c>
      <x:c r="E15" t="str">
        <x:v>17:00</x:v>
      </x:c>
      <x:c r="F15" s="46" t="n">
        <x:v>1</x:v>
      </x:c>
      <x:c r="G15" s="46" t="n">
        <x:v>7.92</x:v>
      </x:c>
      <x:c r="H15" s="46" t="n">
        <x:v>7.92</x:v>
      </x:c>
      <x:c r="I15" s="46" t="n">
        <x:v>0</x:v>
      </x:c>
      <x:c r="J15"/>
      <x:c r="K15" t="str">
        <x:v>Late</x:v>
      </x:c>
      <x:c r="L15" s="16" t="str">
        <x:v>Arrived 5 minutes late.</x:v>
      </x:c>
    </x:row>
    <x:row r="16">
      <x:c r="A16" s="22" t="n">
        <x:v>46267</x:v>
      </x:c>
      <x:c r="B16" t="str">
        <x:v>Wednesday</x:v>
      </x:c>
      <x:c r="C16" t="str">
        <x:v>08:00-17:00</x:v>
      </x:c>
      <x:c r="D16" t="str">
        <x:v>08:00</x:v>
      </x:c>
      <x:c r="E16" t="str">
        <x:v>17:03</x:v>
      </x:c>
      <x:c r="F16" s="46" t="n">
        <x:v>1</x:v>
      </x:c>
      <x:c r="G16" s="46" t="n">
        <x:v>8.05</x:v>
      </x:c>
      <x:c r="H16" s="46" t="n">
        <x:v>8.05</x:v>
      </x:c>
      <x:c r="I16" s="46" t="n">
        <x:v>0</x:v>
      </x:c>
      <x:c r="J16"/>
      <x:c r="K16" t="str">
        <x:v>On Time</x:v>
      </x:c>
      <x:c r="L16" s="16"/>
    </x:row>
    <x:row r="17">
      <x:c r="A17" s="22" t="n">
        <x:v>46268</x:v>
      </x:c>
      <x:c r="B17" t="str">
        <x:v>Thursday</x:v>
      </x:c>
      <x:c r="C17" t="str">
        <x:v>08:00-17:00</x:v>
      </x:c>
      <x:c r="D17" t="str">
        <x:v>08:01</x:v>
      </x:c>
      <x:c r="E17" t="str">
        <x:v>17:06</x:v>
      </x:c>
      <x:c r="F17" s="46" t="n">
        <x:v>1</x:v>
      </x:c>
      <x:c r="G17" s="46" t="n">
        <x:v>8.08</x:v>
      </x:c>
      <x:c r="H17" s="46" t="n">
        <x:v>8.08</x:v>
      </x:c>
      <x:c r="I17" s="46" t="n">
        <x:v>0</x:v>
      </x:c>
      <x:c r="J17"/>
      <x:c r="K17" t="str">
        <x:v>Late</x:v>
      </x:c>
      <x:c r="L17" s="16"/>
    </x:row>
    <x:row r="18">
      <x:c r="A18" s="22" t="n">
        <x:v>46269</x:v>
      </x:c>
      <x:c r="B18" t="str">
        <x:v>Friday</x:v>
      </x:c>
      <x:c r="C18" t="str">
        <x:v>08:00-17:00</x:v>
      </x:c>
      <x:c r="D18" t="str">
        <x:v>08:00</x:v>
      </x:c>
      <x:c r="E18" t="str">
        <x:v>17:00</x:v>
      </x:c>
      <x:c r="F18" s="46" t="n">
        <x:v>1</x:v>
      </x:c>
      <x:c r="G18" s="46" t="n">
        <x:v>8</x:v>
      </x:c>
      <x:c r="H18" s="46" t="n">
        <x:v>8</x:v>
      </x:c>
      <x:c r="I18" s="46" t="n">
        <x:v>0</x:v>
      </x:c>
      <x:c r="J18"/>
      <x:c r="K18" t="str">
        <x:v>On Time</x:v>
      </x:c>
      <x:c r="L18" s="16"/>
    </x:row>
    <x:row r="19">
      <x:c r="A19" s="22" t="n">
        <x:v>46270</x:v>
      </x:c>
      <x:c r="B19" t="str">
        <x:v>Saturday</x:v>
      </x:c>
      <x:c r="C19" t="str">
        <x:v>08:00-14:00</x:v>
      </x:c>
      <x:c r="D19" t="str">
        <x:v>08:00</x:v>
      </x:c>
      <x:c r="E19" t="str">
        <x:v>14:00</x:v>
      </x:c>
      <x:c r="F19" s="46" t="n">
        <x:v>1</x:v>
      </x:c>
      <x:c r="G19" s="46" t="n">
        <x:v>5</x:v>
      </x:c>
      <x:c r="H19" s="46" t="n">
        <x:v>3.83</x:v>
      </x:c>
      <x:c r="I19" s="46" t="n">
        <x:v>1.17</x:v>
      </x:c>
      <x:c r="J19"/>
      <x:c r="K19" t="str">
        <x:v>Overtime</x:v>
      </x:c>
      <x:c r="L19" s="16"/>
    </x:row>
    <x:row r="20">
      <x:c r="A20" s="22" t="n">
        <x:v>46272</x:v>
      </x:c>
      <x:c r="B20" t="str">
        <x:v>Monday</x:v>
      </x:c>
      <x:c r="C20" t="str">
        <x:v>08:00-17:00</x:v>
      </x:c>
      <x:c r="D20"/>
      <x:c r="E20"/>
      <x:c r="F20" s="46" t="n">
        <x:v>0</x:v>
      </x:c>
      <x:c r="G20" s="46" t="n">
        <x:v>0</x:v>
      </x:c>
      <x:c r="H20" s="46" t="n">
        <x:v>0</x:v>
      </x:c>
      <x:c r="I20" s="46" t="n">
        <x:v>0</x:v>
      </x:c>
      <x:c r="J20" t="str">
        <x:v>Public Holiday</x:v>
      </x:c>
      <x:c r="K20" t="str">
        <x:v>Public Holiday</x:v>
      </x:c>
      <x:c r="L20" s="16" t="str">
        <x:v>Labour Day</x:v>
      </x:c>
    </x:row>
    <x:row r="21">
      <x:c r="A21" s="22" t="n">
        <x:v>46273</x:v>
      </x:c>
      <x:c r="B21" t="str">
        <x:v>Tuesday</x:v>
      </x:c>
      <x:c r="C21" t="str">
        <x:v>08:00-17:00</x:v>
      </x:c>
      <x:c r="D21" t="str">
        <x:v>08:01</x:v>
      </x:c>
      <x:c r="E21" t="str">
        <x:v>17:00</x:v>
      </x:c>
      <x:c r="F21" s="46" t="n">
        <x:v>1</x:v>
      </x:c>
      <x:c r="G21" s="46" t="n">
        <x:v>7.98</x:v>
      </x:c>
      <x:c r="H21" s="46" t="n">
        <x:v>7.98</x:v>
      </x:c>
      <x:c r="I21" s="46" t="n">
        <x:v>0</x:v>
      </x:c>
      <x:c r="J21"/>
      <x:c r="K21" t="str">
        <x:v>Late</x:v>
      </x:c>
      <x:c r="L21" s="16"/>
    </x:row>
    <x:row r="22">
      <x:c r="A22" s="22" t="n">
        <x:v>46274</x:v>
      </x:c>
      <x:c r="B22" t="str">
        <x:v>Wednesday</x:v>
      </x:c>
      <x:c r="C22" t="str">
        <x:v>08:00-17:00</x:v>
      </x:c>
      <x:c r="D22" t="str">
        <x:v>07:56</x:v>
      </x:c>
      <x:c r="E22" t="str">
        <x:v>17:00</x:v>
      </x:c>
      <x:c r="F22" s="46" t="n">
        <x:v>1</x:v>
      </x:c>
      <x:c r="G22" s="46" t="n">
        <x:v>8.07</x:v>
      </x:c>
      <x:c r="H22" s="46" t="n">
        <x:v>8.07</x:v>
      </x:c>
      <x:c r="I22" s="46" t="n">
        <x:v>0</x:v>
      </x:c>
      <x:c r="J22"/>
      <x:c r="K22" t="str">
        <x:v>On Time</x:v>
      </x:c>
      <x:c r="L22" s="16"/>
    </x:row>
    <x:row r="23">
      <x:c r="A23" s="22" t="n">
        <x:v>46275</x:v>
      </x:c>
      <x:c r="B23" t="str">
        <x:v>Thursday</x:v>
      </x:c>
      <x:c r="C23" t="str">
        <x:v>08:00-17:00</x:v>
      </x:c>
      <x:c r="D23" t="str">
        <x:v>07:59</x:v>
      </x:c>
      <x:c r="E23" t="str">
        <x:v>16:58</x:v>
      </x:c>
      <x:c r="F23" s="46" t="n">
        <x:v>1</x:v>
      </x:c>
      <x:c r="G23" s="46" t="n">
        <x:v>7.98</x:v>
      </x:c>
      <x:c r="H23" s="46" t="n">
        <x:v>7.98</x:v>
      </x:c>
      <x:c r="I23" s="46" t="n">
        <x:v>0</x:v>
      </x:c>
      <x:c r="J23"/>
      <x:c r="K23" t="str">
        <x:v>Left Early</x:v>
      </x:c>
      <x:c r="L23" s="16"/>
    </x:row>
    <x:row r="24">
      <x:c r="A24" s="22" t="n">
        <x:v>46276</x:v>
      </x:c>
      <x:c r="B24" t="str">
        <x:v>Friday</x:v>
      </x:c>
      <x:c r="C24" t="str">
        <x:v>08:00-17:00</x:v>
      </x:c>
      <x:c r="D24" t="str">
        <x:v>07:59</x:v>
      </x:c>
      <x:c r="E24" t="str">
        <x:v>17:05</x:v>
      </x:c>
      <x:c r="F24" s="46" t="n">
        <x:v>1</x:v>
      </x:c>
      <x:c r="G24" s="46" t="n">
        <x:v>8.1</x:v>
      </x:c>
      <x:c r="H24" s="46" t="n">
        <x:v>8.1</x:v>
      </x:c>
      <x:c r="I24" s="46" t="n">
        <x:v>0</x:v>
      </x:c>
      <x:c r="J24"/>
      <x:c r="K24" t="str">
        <x:v>On Time</x:v>
      </x:c>
      <x:c r="L24" s="16"/>
    </x:row>
    <x:row r="25">
      <x:c r="A25" s="22" t="n">
        <x:v>46277</x:v>
      </x:c>
      <x:c r="B25" t="str">
        <x:v>Saturday</x:v>
      </x:c>
      <x:c r="C25" t="str">
        <x:v>08:00-14:00</x:v>
      </x:c>
      <x:c r="D25" t="str">
        <x:v>08:01</x:v>
      </x:c>
      <x:c r="E25" t="str">
        <x:v>14:30</x:v>
      </x:c>
      <x:c r="F25" s="46" t="n">
        <x:v>1</x:v>
      </x:c>
      <x:c r="G25" s="46" t="n">
        <x:v>5.48</x:v>
      </x:c>
      <x:c r="H25" s="46" t="n">
        <x:v>5.48</x:v>
      </x:c>
      <x:c r="I25" s="46" t="n">
        <x:v>0</x:v>
      </x:c>
      <x:c r="J25"/>
      <x:c r="K25" t="str">
        <x:v>Late</x:v>
      </x:c>
      <x:c r="L25" s="16" t="str">
        <x:v>Customer follow-up required 30 extra minutes.</x:v>
      </x:c>
    </x:row>
    <x:row r="26">
      <x:c r="A26" s="22" t="n">
        <x:v>46279</x:v>
      </x:c>
      <x:c r="B26" t="str">
        <x:v>Monday</x:v>
      </x:c>
      <x:c r="C26" t="str">
        <x:v>08:00-17:00</x:v>
      </x:c>
      <x:c r="D26" t="str">
        <x:v>08:02</x:v>
      </x:c>
      <x:c r="E26" t="str">
        <x:v>17:00</x:v>
      </x:c>
      <x:c r="F26" s="46" t="n">
        <x:v>1</x:v>
      </x:c>
      <x:c r="G26" s="46" t="n">
        <x:v>7.97</x:v>
      </x:c>
      <x:c r="H26" s="46" t="n">
        <x:v>7.97</x:v>
      </x:c>
      <x:c r="I26" s="46" t="n">
        <x:v>0</x:v>
      </x:c>
      <x:c r="J26"/>
      <x:c r="K26" t="str">
        <x:v>Late</x:v>
      </x:c>
      <x:c r="L26" s="16"/>
    </x:row>
    <x:row r="27">
      <x:c r="A27" s="22" t="n">
        <x:v>46280</x:v>
      </x:c>
      <x:c r="B27" t="str">
        <x:v>Tuesday</x:v>
      </x:c>
      <x:c r="C27" t="str">
        <x:v>08:00-17:00</x:v>
      </x:c>
      <x:c r="D27" t="str">
        <x:v>07:59</x:v>
      </x:c>
      <x:c r="E27" t="str">
        <x:v>16:59</x:v>
      </x:c>
      <x:c r="F27" s="46" t="n">
        <x:v>1</x:v>
      </x:c>
      <x:c r="G27" s="46" t="n">
        <x:v>8</x:v>
      </x:c>
      <x:c r="H27" s="46" t="n">
        <x:v>8</x:v>
      </x:c>
      <x:c r="I27" s="46" t="n">
        <x:v>0</x:v>
      </x:c>
      <x:c r="J27"/>
      <x:c r="K27" t="str">
        <x:v>Left Early</x:v>
      </x:c>
      <x:c r="L27" s="16"/>
    </x:row>
    <x:row r="28">
      <x:c r="A28" s="22" t="n">
        <x:v>46281</x:v>
      </x:c>
      <x:c r="B28" t="str">
        <x:v>Wednesday</x:v>
      </x:c>
      <x:c r="C28" t="str">
        <x:v>08:00-17:00</x:v>
      </x:c>
      <x:c r="D28" t="str">
        <x:v>08:00</x:v>
      </x:c>
      <x:c r="E28" t="str">
        <x:v>17:05</x:v>
      </x:c>
      <x:c r="F28" s="46" t="n">
        <x:v>1</x:v>
      </x:c>
      <x:c r="G28" s="46" t="n">
        <x:v>8.08</x:v>
      </x:c>
      <x:c r="H28" s="46" t="n">
        <x:v>8.08</x:v>
      </x:c>
      <x:c r="I28" s="46" t="n">
        <x:v>0</x:v>
      </x:c>
      <x:c r="J28"/>
      <x:c r="K28" t="str">
        <x:v>On Time</x:v>
      </x:c>
      <x:c r="L28" s="16"/>
    </x:row>
    <x:row r="29">
      <x:c r="A29" s="22" t="n">
        <x:v>46282</x:v>
      </x:c>
      <x:c r="B29" t="str">
        <x:v>Thursday</x:v>
      </x:c>
      <x:c r="C29" t="str">
        <x:v>08:00-17:00</x:v>
      </x:c>
      <x:c r="D29" t="str">
        <x:v>07:58</x:v>
      </x:c>
      <x:c r="E29" t="str">
        <x:v>17:03</x:v>
      </x:c>
      <x:c r="F29" s="46" t="n">
        <x:v>1</x:v>
      </x:c>
      <x:c r="G29" s="46" t="n">
        <x:v>8.08</x:v>
      </x:c>
      <x:c r="H29" s="46" t="n">
        <x:v>8.08</x:v>
      </x:c>
      <x:c r="I29" s="46" t="n">
        <x:v>0</x:v>
      </x:c>
      <x:c r="J29"/>
      <x:c r="K29" t="str">
        <x:v>On Time</x:v>
      </x:c>
      <x:c r="L29" s="16"/>
    </x:row>
    <x:row r="30">
      <x:c r="A30" s="22" t="n">
        <x:v>46283</x:v>
      </x:c>
      <x:c r="B30" t="str">
        <x:v>Friday</x:v>
      </x:c>
      <x:c r="C30" t="str">
        <x:v>08:00-17:00</x:v>
      </x:c>
      <x:c r="D30" t="str">
        <x:v>07:57</x:v>
      </x:c>
      <x:c r="E30" t="str">
        <x:v>17:03</x:v>
      </x:c>
      <x:c r="F30" s="46" t="n">
        <x:v>1</x:v>
      </x:c>
      <x:c r="G30" s="46" t="n">
        <x:v>8.1</x:v>
      </x:c>
      <x:c r="H30" s="46" t="n">
        <x:v>8.1</x:v>
      </x:c>
      <x:c r="I30" s="46" t="n">
        <x:v>0</x:v>
      </x:c>
      <x:c r="J30"/>
      <x:c r="K30" t="str">
        <x:v>On Time</x:v>
      </x:c>
      <x:c r="L30" s="16"/>
    </x:row>
    <x:row r="31">
      <x:c r="A31" s="22" t="n">
        <x:v>46284</x:v>
      </x:c>
      <x:c r="B31" t="str">
        <x:v>Saturday</x:v>
      </x:c>
      <x:c r="C31" t="str">
        <x:v>08:00-14:00</x:v>
      </x:c>
      <x:c r="D31" t="str">
        <x:v>07:59</x:v>
      </x:c>
      <x:c r="E31" t="str">
        <x:v>14:00</x:v>
      </x:c>
      <x:c r="F31" s="46" t="n">
        <x:v>1</x:v>
      </x:c>
      <x:c r="G31" s="46" t="n">
        <x:v>5.02</x:v>
      </x:c>
      <x:c r="H31" s="46" t="n">
        <x:v>3.77</x:v>
      </x:c>
      <x:c r="I31" s="46" t="n">
        <x:v>1.25</x:v>
      </x:c>
      <x:c r="J31"/>
      <x:c r="K31" t="str">
        <x:v>Overtime</x:v>
      </x:c>
      <x:c r="L31" s="16"/>
    </x:row>
    <x:row r="32">
      <x:c r="A32" s="22" t="n">
        <x:v>46286</x:v>
      </x:c>
      <x:c r="B32" t="str">
        <x:v>Monday</x:v>
      </x:c>
      <x:c r="C32" t="str">
        <x:v>08:00-17:00</x:v>
      </x:c>
      <x:c r="D32" t="str">
        <x:v>07:56</x:v>
      </x:c>
      <x:c r="E32" t="str">
        <x:v>17:00</x:v>
      </x:c>
      <x:c r="F32" s="46" t="n">
        <x:v>1</x:v>
      </x:c>
      <x:c r="G32" s="46" t="n">
        <x:v>8.07</x:v>
      </x:c>
      <x:c r="H32" s="46" t="n">
        <x:v>8.07</x:v>
      </x:c>
      <x:c r="I32" s="46" t="n">
        <x:v>0</x:v>
      </x:c>
      <x:c r="J32"/>
      <x:c r="K32" t="str">
        <x:v>On Time</x:v>
      </x:c>
      <x:c r="L32" s="16"/>
    </x:row>
    <x:row r="33">
      <x:c r="A33" s="22" t="n">
        <x:v>46287</x:v>
      </x:c>
      <x:c r="B33" t="str">
        <x:v>Tuesday</x:v>
      </x:c>
      <x:c r="C33" t="str">
        <x:v>08:00-17:00</x:v>
      </x:c>
      <x:c r="D33" t="str">
        <x:v>08:01</x:v>
      </x:c>
      <x:c r="E33" t="str">
        <x:v>17:01</x:v>
      </x:c>
      <x:c r="F33" s="46" t="n">
        <x:v>1</x:v>
      </x:c>
      <x:c r="G33" s="46" t="n">
        <x:v>8</x:v>
      </x:c>
      <x:c r="H33" s="46" t="n">
        <x:v>8</x:v>
      </x:c>
      <x:c r="I33" s="46" t="n">
        <x:v>0</x:v>
      </x:c>
      <x:c r="J33"/>
      <x:c r="K33" t="str">
        <x:v>Late</x:v>
      </x:c>
      <x:c r="L33" s="16"/>
    </x:row>
    <x:row r="34">
      <x:c r="A34" s="22" t="n">
        <x:v>46288</x:v>
      </x:c>
      <x:c r="B34" t="str">
        <x:v>Wednesday</x:v>
      </x:c>
      <x:c r="C34" t="str">
        <x:v>08:00-17:00</x:v>
      </x:c>
      <x:c r="D34" t="str">
        <x:v>08:03</x:v>
      </x:c>
      <x:c r="E34" t="str">
        <x:v>17:03</x:v>
      </x:c>
      <x:c r="F34" s="46" t="n">
        <x:v>1</x:v>
      </x:c>
      <x:c r="G34" s="46" t="n">
        <x:v>8</x:v>
      </x:c>
      <x:c r="H34" s="46" t="n">
        <x:v>8</x:v>
      </x:c>
      <x:c r="I34" s="46" t="n">
        <x:v>0</x:v>
      </x:c>
      <x:c r="J34"/>
      <x:c r="K34" t="str">
        <x:v>Late</x:v>
      </x:c>
      <x:c r="L34" s="16" t="str">
        <x:v>Arrived 3 minutes late.</x:v>
      </x:c>
    </x:row>
    <x:row r="35">
      <x:c r="A35" s="22" t="n">
        <x:v>46289</x:v>
      </x:c>
      <x:c r="B35" t="str">
        <x:v>Thursday</x:v>
      </x:c>
      <x:c r="C35" t="str">
        <x:v>08:00-17:00</x:v>
      </x:c>
      <x:c r="D35" t="str">
        <x:v>08:00</x:v>
      </x:c>
      <x:c r="E35" t="str">
        <x:v>17:01</x:v>
      </x:c>
      <x:c r="F35" s="46" t="n">
        <x:v>1</x:v>
      </x:c>
      <x:c r="G35" s="46" t="n">
        <x:v>8.02</x:v>
      </x:c>
      <x:c r="H35" s="46" t="n">
        <x:v>8.02</x:v>
      </x:c>
      <x:c r="I35" s="46" t="n">
        <x:v>0</x:v>
      </x:c>
      <x:c r="J35"/>
      <x:c r="K35" t="str">
        <x:v>On Time</x:v>
      </x:c>
      <x:c r="L35" s="16"/>
    </x:row>
    <x:row r="36">
      <x:c r="A36" s="22" t="n">
        <x:v>46290</x:v>
      </x:c>
      <x:c r="B36" t="str">
        <x:v>Friday</x:v>
      </x:c>
      <x:c r="C36" t="str">
        <x:v>08:00-17:00</x:v>
      </x:c>
      <x:c r="D36" t="str">
        <x:v>08:00</x:v>
      </x:c>
      <x:c r="E36" t="str">
        <x:v>12:00</x:v>
      </x:c>
      <x:c r="F36" s="46" t="n">
        <x:v>0</x:v>
      </x:c>
      <x:c r="G36" s="46" t="n">
        <x:v>4</x:v>
      </x:c>
      <x:c r="H36" s="46" t="n">
        <x:v>4</x:v>
      </x:c>
      <x:c r="I36" s="46" t="n">
        <x:v>0</x:v>
      </x:c>
      <x:c r="J36" t="str">
        <x:v>Unpaid Leave</x:v>
      </x:c>
      <x:c r="K36" t="str">
        <x:v>Unpaid Leave</x:v>
      </x:c>
      <x:c r="L36" s="16" t="str">
        <x:v>Approved half-day unpaid leave (afternoon).</x:v>
      </x:c>
    </x:row>
    <x:row r="37">
      <x:c r="A37" s="22" t="n">
        <x:v>46291</x:v>
      </x:c>
      <x:c r="B37" t="str">
        <x:v>Saturday</x:v>
      </x:c>
      <x:c r="C37" t="str">
        <x:v>08:00-14:00</x:v>
      </x:c>
      <x:c r="D37" t="str">
        <x:v>07:56</x:v>
      </x:c>
      <x:c r="E37" t="str">
        <x:v>14:01</x:v>
      </x:c>
      <x:c r="F37" s="46" t="n">
        <x:v>1</x:v>
      </x:c>
      <x:c r="G37" s="46" t="n">
        <x:v>5.08</x:v>
      </x:c>
      <x:c r="H37" s="46" t="n">
        <x:v>5.08</x:v>
      </x:c>
      <x:c r="I37" s="46" t="n">
        <x:v>0</x:v>
      </x:c>
      <x:c r="J37"/>
      <x:c r="K37" t="str">
        <x:v>On Time</x:v>
      </x:c>
      <x:c r="L37" s="16"/>
    </x:row>
    <x:row r="38">
      <x:c r="A38" s="22" t="n">
        <x:v>46293</x:v>
      </x:c>
      <x:c r="B38" t="str">
        <x:v>Monday</x:v>
      </x:c>
      <x:c r="C38" t="str">
        <x:v>08:00-17:00</x:v>
      </x:c>
      <x:c r="D38" t="str">
        <x:v>07:58</x:v>
      </x:c>
      <x:c r="E38" t="str">
        <x:v>17:05</x:v>
      </x:c>
      <x:c r="F38" s="46" t="n">
        <x:v>1</x:v>
      </x:c>
      <x:c r="G38" s="46" t="n">
        <x:v>8.12</x:v>
      </x:c>
      <x:c r="H38" s="46" t="n">
        <x:v>8.12</x:v>
      </x:c>
      <x:c r="I38" s="46" t="n">
        <x:v>0</x:v>
      </x:c>
      <x:c r="J38"/>
      <x:c r="K38" t="str">
        <x:v>On Time</x:v>
      </x:c>
      <x:c r="L38" s="16"/>
    </x:row>
    <x:row r="39">
      <x:c r="A39" s="22" t="n">
        <x:v>46294</x:v>
      </x:c>
      <x:c r="B39" t="str">
        <x:v>Tuesday</x:v>
      </x:c>
      <x:c r="C39" t="str">
        <x:v>08:00-17:00</x:v>
      </x:c>
      <x:c r="D39" t="str">
        <x:v>08:00</x:v>
      </x:c>
      <x:c r="E39" t="str">
        <x:v>17:01</x:v>
      </x:c>
      <x:c r="F39" s="46" t="n">
        <x:v>1</x:v>
      </x:c>
      <x:c r="G39" s="46" t="n">
        <x:v>8.02</x:v>
      </x:c>
      <x:c r="H39" s="46" t="n">
        <x:v>8.02</x:v>
      </x:c>
      <x:c r="I39" s="46" t="n">
        <x:v>0</x:v>
      </x:c>
      <x:c r="J39"/>
      <x:c r="K39" t="str">
        <x:v>On Time</x:v>
      </x:c>
      <x:c r="L39" s="16"/>
    </x:row>
    <x:row r="40">
      <x:c r="A40" s="22" t="n">
        <x:v>46295</x:v>
      </x:c>
      <x:c r="B40" t="str">
        <x:v>Wednesday</x:v>
      </x:c>
      <x:c r="C40" t="str">
        <x:v>08:00-17:00</x:v>
      </x:c>
      <x:c r="D40" t="str">
        <x:v>07:59</x:v>
      </x:c>
      <x:c r="E40" t="str">
        <x:v>17:01</x:v>
      </x:c>
      <x:c r="F40" s="46" t="n">
        <x:v>1</x:v>
      </x:c>
      <x:c r="G40" s="46" t="n">
        <x:v>8.03</x:v>
      </x:c>
      <x:c r="H40" s="46" t="n">
        <x:v>8.03</x:v>
      </x:c>
      <x:c r="I40" s="46" t="n">
        <x:v>0</x:v>
      </x:c>
      <x:c r="J40"/>
      <x:c r="K40" t="str">
        <x:v>On Time</x:v>
      </x:c>
      <x:c r="L40" s="16"/>
    </x:row>
    <x:row r="42" ht="34" customHeight="1">
      <x:c r="A42" s="77" t="str">
        <x:v>Certification: This statement summarizes recorded work time and payroll calculation for the reporting period. Employer identifiers and estimated payroll deductions must be verified before official submission.</x:v>
      </x:c>
    </x:row>
    <x:row r="44">
      <x:c r="A44" t="str">
        <x:v>Authorized Employer Representative</x:v>
      </x:c>
      <x:c r="B44" t="str"/>
      <x:c r="C44" t="str"/>
      <x:c r="D44" t="str"/>
      <x:c r="E44" t="str"/>
      <x:c r="F44" t="str">
        <x:v>Employee Acknowledgement</x:v>
      </x:c>
      <x:c r="G44" t="str"/>
      <x:c r="H44" t="str"/>
      <x:c r="I44" t="str"/>
      <x:c r="J44" t="str"/>
      <x:c r="K44" t="str">
        <x:v>Date</x:v>
      </x:c>
      <x:c r="L44" t="str"/>
    </x:row>
    <x:row r="45">
      <x:c r="A45" t="str">
        <x:v>Signature: __________________________</x:v>
      </x:c>
      <x:c r="B45" t="str"/>
      <x:c r="C45" t="str"/>
      <x:c r="D45" t="str"/>
      <x:c r="E45" t="str"/>
      <x:c r="F45" t="str">
        <x:v>Signature: __________________________</x:v>
      </x:c>
      <x:c r="G45" t="str"/>
      <x:c r="H45" t="str"/>
      <x:c r="I45" t="str"/>
      <x:c r="J45" t="str"/>
      <x:c r="K45" t="str">
        <x:v>________________</x:v>
      </x:c>
      <x:c r="L45" t="str"/>
    </x:row>
  </x:sheetData>
  <x:mergeCells>
    <x:mergeCell ref="A1:L1"/>
    <x:mergeCell ref="B3:F3"/>
    <x:mergeCell ref="B4:F4"/>
    <x:mergeCell ref="B5:F5"/>
    <x:mergeCell ref="H3:L3"/>
    <x:mergeCell ref="H4:L4"/>
    <x:mergeCell ref="H5:L5"/>
    <x:mergeCell ref="A9:L9"/>
    <x:mergeCell ref="A13:L13"/>
    <x:mergeCell ref="A42:L4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3" hidden="0" customWidth="1"/>
    <x:col min="3" max="3" width="22" hidden="0" customWidth="1"/>
    <x:col min="4" max="4" width="25" hidden="0" customWidth="1"/>
    <x:col min="5" max="5" width="14" hidden="0" customWidth="1"/>
    <x:col min="6" max="6" width="16" hidden="0" customWidth="1"/>
  </x:cols>
  <x:sheetData>
    <x:row r="1" ht="34" customHeight="1">
      <x:c r="A1" s="84" t="str">
        <x:v>Employee PDF Center</x:v>
      </x:c>
      <x:c r="B1" s="84"/>
      <x:c r="C1" s="84"/>
      <x:c r="D1" s="84"/>
      <x:c r="E1" s="84"/>
      <x:c r="F1" s="84"/>
    </x:row>
    <x:row r="3" ht="34" customHeight="1">
      <x:c r="A3" s="88" t="str">
        <x:v>Click an employee name to open the PDF. Keep this Excel file and all six PDF files in the same folder.</x:v>
      </x:c>
      <x:c r="B3" s="88"/>
      <x:c r="C3" s="88"/>
      <x:c r="D3" s="88"/>
      <x:c r="E3" s="88"/>
      <x:c r="F3" s="88"/>
    </x:row>
    <x:row r="5" ht="28" customHeight="1">
      <x:c r="A5" s="106" t="str">
        <x:v>Employee ID</x:v>
      </x:c>
      <x:c r="B5" s="107" t="str">
        <x:v>Employee Name - Click to Open PDF</x:v>
      </x:c>
      <x:c r="C5" s="107" t="str">
        <x:v>Department</x:v>
      </x:c>
      <x:c r="D5" s="107" t="str">
        <x:v>Reporting Period</x:v>
      </x:c>
      <x:c r="E5" s="107" t="str">
        <x:v>PDF Status</x:v>
      </x:c>
      <x:c r="F5" s="108" t="str">
        <x:v>Excel Report</x:v>
      </x:c>
    </x:row>
    <x:row r="6" ht="24" customHeight="1">
      <x:c r="A6" s="109" t="str">
        <x:v>EMP-001</x:v>
      </x:c>
      <x:c r="B6" s="110" t="str">
        <x:f>IFERROR(HYPERLINK("EMP-001_Olivia_Martin_Work_Payroll_Statement_2026-09.pdf","Olivia Martin"),"Olivia Martin")</x:f>
        <x:v>Olivia Martin</x:v>
      </x:c>
      <x:c r="C6" s="111" t="str">
        <x:v>Operations</x:v>
      </x:c>
      <x:c r="D6" s="111" t="str">
        <x:v>2026-09-01 to 2026-09-30</x:v>
      </x:c>
      <x:c r="E6" s="112" t="str">
        <x:v>Ready</x:v>
      </x:c>
      <x:c r="F6" s="113" t="str">
        <x:f>IFERROR(HYPERLINK("#'Report EMP-001'!A1","View Report"),"View Report")</x:f>
        <x:v>View Report</x:v>
      </x:c>
    </x:row>
    <x:row r="7" ht="24" customHeight="1">
      <x:c r="A7" s="114" t="str">
        <x:v>EMP-002</x:v>
      </x:c>
      <x:c r="B7" s="115" t="str">
        <x:f>IFERROR(HYPERLINK("EMP-002_Liam_Chen_Work_Payroll_Statement_2026-09.pdf","Liam Chen"),"Liam Chen")</x:f>
        <x:v>Liam Chen</x:v>
      </x:c>
      <x:c r="C7" s="116" t="str">
        <x:v>Warehouse</x:v>
      </x:c>
      <x:c r="D7" s="116" t="str">
        <x:v>2026-09-01 to 2026-09-30</x:v>
      </x:c>
      <x:c r="E7" s="117" t="str">
        <x:v>Ready</x:v>
      </x:c>
      <x:c r="F7" s="118" t="str">
        <x:f>IFERROR(HYPERLINK("#'Report EMP-002'!A1","View Report"),"View Report")</x:f>
        <x:v>View Report</x:v>
      </x:c>
    </x:row>
    <x:row r="8" ht="24" customHeight="1">
      <x:c r="A8" s="109" t="str">
        <x:v>EMP-003</x:v>
      </x:c>
      <x:c r="B8" s="110" t="str">
        <x:f>IFERROR(HYPERLINK("EMP-003_Ava_Patel_Work_Payroll_Statement_2026-09.pdf","Ava Patel"),"Ava Patel")</x:f>
        <x:v>Ava Patel</x:v>
      </x:c>
      <x:c r="C8" s="111" t="str">
        <x:v>Finance</x:v>
      </x:c>
      <x:c r="D8" s="111" t="str">
        <x:v>2026-09-01 to 2026-09-30</x:v>
      </x:c>
      <x:c r="E8" s="112" t="str">
        <x:v>Ready</x:v>
      </x:c>
      <x:c r="F8" s="113" t="str">
        <x:f>IFERROR(HYPERLINK("#'Report EMP-003'!A1","View Report"),"View Report")</x:f>
        <x:v>View Report</x:v>
      </x:c>
    </x:row>
    <x:row r="9" ht="24" customHeight="1">
      <x:c r="A9" s="114" t="str">
        <x:v>EMP-004</x:v>
      </x:c>
      <x:c r="B9" s="115" t="str">
        <x:f>IFERROR(HYPERLINK("EMP-004_Noah_Williams_Work_Payroll_Statement_2026-09.pdf","Noah Williams"),"Noah Williams")</x:f>
        <x:v>Noah Williams</x:v>
      </x:c>
      <x:c r="C9" s="116" t="str">
        <x:v>Customer Support</x:v>
      </x:c>
      <x:c r="D9" s="116" t="str">
        <x:v>2026-09-01 to 2026-09-30</x:v>
      </x:c>
      <x:c r="E9" s="117" t="str">
        <x:v>Ready</x:v>
      </x:c>
      <x:c r="F9" s="118" t="str">
        <x:f>IFERROR(HYPERLINK("#'Report EMP-004'!A1","View Report"),"View Report")</x:f>
        <x:v>View Report</x:v>
      </x:c>
    </x:row>
    <x:row r="10" ht="24" customHeight="1">
      <x:c r="A10" s="109" t="str">
        <x:v>EMP-005</x:v>
      </x:c>
      <x:c r="B10" s="110" t="str">
        <x:f>IFERROR(HYPERLINK("EMP-005_Sophia_Nguyen_Work_Payroll_Statement_2026-09.pdf","Sophia Nguyen"),"Sophia Nguyen")</x:f>
        <x:v>Sophia Nguyen</x:v>
      </x:c>
      <x:c r="C10" s="111" t="str">
        <x:v>Human Resources</x:v>
      </x:c>
      <x:c r="D10" s="111" t="str">
        <x:v>2026-09-01 to 2026-09-30</x:v>
      </x:c>
      <x:c r="E10" s="112" t="str">
        <x:v>Ready</x:v>
      </x:c>
      <x:c r="F10" s="113" t="str">
        <x:f>IFERROR(HYPERLINK("#'Report EMP-005'!A1","View Report"),"View Report")</x:f>
        <x:v>View Report</x:v>
      </x:c>
    </x:row>
    <x:row r="11" ht="24" customHeight="1">
      <x:c r="A11" s="119" t="str">
        <x:v>EMP-006</x:v>
      </x:c>
      <x:c r="B11" s="120" t="str">
        <x:f>IFERROR(HYPERLINK("EMP-006_Ethan_Brown_Work_Payroll_Statement_2026-09.pdf","Ethan Brown"),"Ethan Brown")</x:f>
        <x:v>Ethan Brown</x:v>
      </x:c>
      <x:c r="C11" s="121" t="str">
        <x:v>Sales</x:v>
      </x:c>
      <x:c r="D11" s="121" t="str">
        <x:v>2026-09-01 to 2026-09-30</x:v>
      </x:c>
      <x:c r="E11" s="122" t="str">
        <x:v>Ready</x:v>
      </x:c>
      <x:c r="F11" s="123" t="str">
        <x:f>IFERROR(HYPERLINK("#'Report EMP-006'!A1","View Report"),"View Report")</x:f>
        <x:v>View Report</x:v>
      </x:c>
    </x:row>
    <x:row r="13" ht="42" customHeight="1">
      <x:c r="A13" s="129" t="str">
        <x:v>IMPORTANT: Extract the ZIP completely before opening Excel. Do not move or rename the Excel file or any employee PDF.</x:v>
      </x:c>
      <x:c r="B13" s="129"/>
      <x:c r="C13" s="129"/>
      <x:c r="D13" s="129"/>
      <x:c r="E13" s="129"/>
      <x:c r="F13" s="129"/>
    </x:row>
  </x:sheetData>
  <x:mergeCells>
    <x:mergeCell ref="A1:F1"/>
    <x:mergeCell ref="A3:F3"/>
    <x:mergeCell ref="A13:F13"/>
  </x:mergeCells>
  <x:pageMargins left="0.7" right="0.7" top="0.75" bottom="0.75" header="0.3" footer="0.3"/>
</x:worksheet>
</file>