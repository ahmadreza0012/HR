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27b41709f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راهنما" sheetId="1" r:id="R195d79bfdf814315"/>
    <x:sheet xmlns:r="http://schemas.openxmlformats.org/officeDocument/2006/relationships" name="تنظیمات" sheetId="2" r:id="R461f0e43d6d14d2b"/>
    <x:sheet xmlns:r="http://schemas.openxmlformats.org/officeDocument/2006/relationships" name="کارمندان" sheetId="3" r:id="Rad06f6e96460459e"/>
    <x:sheet xmlns:r="http://schemas.openxmlformats.org/officeDocument/2006/relationships" name="حضور و غیاب" sheetId="4" r:id="R8b835815bfd04594"/>
    <x:sheet xmlns:r="http://schemas.openxmlformats.org/officeDocument/2006/relationships" name="دوره حقوق" sheetId="5" r:id="R723f1f7626744d0a"/>
    <x:sheet xmlns:r="http://schemas.openxmlformats.org/officeDocument/2006/relationships" name="محاسبه حقوق" sheetId="6" r:id="R775853a834384921"/>
    <x:sheet xmlns:r="http://schemas.openxmlformats.org/officeDocument/2006/relationships" name="فیش حقوق" sheetId="7" r:id="R220dde4940734ccf"/>
    <x:sheet xmlns:r="http://schemas.openxmlformats.org/officeDocument/2006/relationships" name="گزارش تغییرات" sheetId="8" r:id="R8c7e03fdd1b849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%"/>
    <x:numFmt numFmtId="202" formatCode="$#,##0.00"/>
    <x:numFmt numFmtId="203" formatCode="hh:mm"/>
    <x:numFmt numFmtId="204" formatCode="0.00"/>
    <x:numFmt numFmtId="205" formatCode="yyyy-mm-dd hh:mm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  <x:fill>
      <x:patternFill patternType="solid">
        <x:fgColor rgb="FFEAF2FF"/>
      </x:patternFill>
    </x:fill>
  </x:fills>
  <x:borders count="2">
    <x:border/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vertical="center"/>
    </x:xf>
    <x:xf numFmtId="201" fontId="0" fillId="4" borderId="1" xfId="0" applyNumberFormat="1" applyFont="1" applyFill="1" applyBorder="1" applyAlignment="1">
      <x:alignment vertical="center"/>
    </x:xf>
    <x:xf numFmtId="202" fontId="0" fillId="4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3" fontId="0" fillId="4" borderId="1" xfId="0" applyNumberFormat="1" applyFont="1" applyFill="1" applyBorder="1" applyAlignment="1">
      <x:alignment vertical="center"/>
    </x:xf>
    <x:xf numFmtId="204" fontId="0" fillId="4" borderId="1" xfId="0" applyNumberFormat="1" applyFont="1" applyFill="1" applyBorder="1" applyAlignment="1">
      <x:alignment vertical="center"/>
    </x:xf>
    <x:xf numFmtId="204" fontId="0" fillId="5" borderId="1" xfId="0" applyNumberFormat="1" applyFont="1" applyFill="1" applyBorder="1" applyAlignment="1">
      <x:alignment vertical="center"/>
    </x:xf>
    <x:xf numFmtId="202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2" fontId="0" fillId="5" borderId="1" xfId="0" applyNumberFormat="1" applyFont="1" applyFill="1" applyBorder="1"/>
    <x:xf numFmtId="200" fontId="0" fillId="5" borderId="1" xfId="0" applyNumberFormat="1" applyFont="1" applyFill="1" applyBorder="1"/>
    <x:xf numFmtId="205" fontId="0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2d0f1ff4b4f0c" /><Relationship Type="http://schemas.openxmlformats.org/officeDocument/2006/relationships/theme" Target="/xl/theme/theme1.xml" Id="R95c1a7f0e5c84a6a" /><Relationship Type="http://schemas.openxmlformats.org/officeDocument/2006/relationships/sharedStrings" Target="/xl/sharedStrings.xml" Id="Refd2ac4d7c834084" /><Relationship Type="http://schemas.openxmlformats.org/officeDocument/2006/relationships/worksheet" Target="/xl/worksheets/sheet1.xml" Id="R195d79bfdf814315" /><Relationship Type="http://schemas.openxmlformats.org/officeDocument/2006/relationships/worksheet" Target="/xl/worksheets/sheet2.xml" Id="R461f0e43d6d14d2b" /><Relationship Type="http://schemas.openxmlformats.org/officeDocument/2006/relationships/worksheet" Target="/xl/worksheets/sheet3.xml" Id="Rad06f6e96460459e" /><Relationship Type="http://schemas.openxmlformats.org/officeDocument/2006/relationships/worksheet" Target="/xl/worksheets/sheet4.xml" Id="R8b835815bfd04594" /><Relationship Type="http://schemas.openxmlformats.org/officeDocument/2006/relationships/worksheet" Target="/xl/worksheets/sheet5.xml" Id="R723f1f7626744d0a" /><Relationship Type="http://schemas.openxmlformats.org/officeDocument/2006/relationships/worksheet" Target="/xl/worksheets/sheet6.xml" Id="R775853a834384921" /><Relationship Type="http://schemas.openxmlformats.org/officeDocument/2006/relationships/worksheet" Target="/xl/worksheets/sheet7.xml" Id="R220dde4940734ccf" /><Relationship Type="http://schemas.openxmlformats.org/officeDocument/2006/relationships/worksheet" Target="/xl/worksheets/sheet8.xml" Id="R8c7e03fdd1b849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85" hidden="0" customWidth="1"/>
  </x:cols>
  <x:sheetData>
    <x:row r="1">
      <x:c r="A1" s="4" t="str">
        <x:v>کارا | فایل عملیاتی حقوق و دستمزد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8" t="str">
        <x:v>نحوه استفاده</x:v>
      </x:c>
      <x:c r="B4" s="8" t="str"/>
      <x:c r="C4" s="8" t="str"/>
      <x:c r="D4" s="8" t="str"/>
      <x:c r="E4" s="8" t="str"/>
      <x:c r="F4" s="8" t="str"/>
      <x:c r="G4" s="8" t="str"/>
      <x:c r="H4" s="8" t="str"/>
    </x:row>
    <x:row r="5">
      <x:c r="A5" s="12" t="str">
        <x:v>1</x:v>
      </x:c>
      <x:c r="B5" s="12" t="str">
        <x:v>تنظیمات</x:v>
      </x:c>
      <x:c r="C5" s="12" t="str">
        <x:v>نرخ‌ها، آستانه‌ها و ماه محاسبه را در سلول‌های زرد تعیین کنید.</x:v>
      </x:c>
      <x:c r="D5" s="12" t="str"/>
      <x:c r="E5" s="12" t="str"/>
      <x:c r="F5" s="12" t="str"/>
      <x:c r="G5" s="12" t="str"/>
      <x:c r="H5" s="12" t="str"/>
    </x:row>
    <x:row r="6">
      <x:c r="A6" s="12" t="str">
        <x:v>2</x:v>
      </x:c>
      <x:c r="B6" s="12" t="str">
        <x:v>کارمندان</x:v>
      </x:c>
      <x:c r="C6" s="12" t="str">
        <x:v>کد پرسنلی، نام، نرخ ساعتی و وضعیت فعال را وارد کنید.</x:v>
      </x:c>
      <x:c r="D6" s="12" t="str"/>
      <x:c r="E6" s="12" t="str"/>
      <x:c r="F6" s="12" t="str"/>
      <x:c r="G6" s="12" t="str"/>
      <x:c r="H6" s="12" t="str"/>
    </x:row>
    <x:row r="7">
      <x:c r="A7" s="12" t="str">
        <x:v>3</x:v>
      </x:c>
      <x:c r="B7" s="12" t="str">
        <x:v>حضور و غیاب</x:v>
      </x:c>
      <x:c r="C7" s="12" t="str">
        <x:v>تاریخ، ساعت ورود/خروج، استراحت و مرخصی را وارد کنید؛ ساعات عادی و اضافه‌کاری خودکار محاسبه می‌شوند.</x:v>
      </x:c>
      <x:c r="D7" s="12" t="str"/>
      <x:c r="E7" s="12" t="str"/>
      <x:c r="F7" s="12" t="str"/>
      <x:c r="G7" s="12" t="str"/>
      <x:c r="H7" s="12" t="str"/>
    </x:row>
    <x:row r="8">
      <x:c r="A8" s="12" t="str">
        <x:v>4</x:v>
      </x:c>
      <x:c r="B8" s="12" t="str">
        <x:v>دوره حقوق</x:v>
      </x:c>
      <x:c r="C8" s="12" t="str">
        <x:v>تاریخ شروع و پایان دوره را ثبت کنید.</x:v>
      </x:c>
      <x:c r="D8" s="12" t="str"/>
      <x:c r="E8" s="12" t="str"/>
      <x:c r="F8" s="12" t="str"/>
      <x:c r="G8" s="12" t="str"/>
      <x:c r="H8" s="12" t="str"/>
    </x:row>
    <x:row r="9">
      <x:c r="A9" s="12" t="str">
        <x:v>5</x:v>
      </x:c>
      <x:c r="B9" s="12" t="str">
        <x:v>محاسبه حقوق</x:v>
      </x:c>
      <x:c r="C9" s="12" t="str">
        <x:v>برای هر کد پرسنلی یک ردیف بسازید؛ تمام اقلام از حضور و تنظیمات با فرمول Excel محاسبه می‌شود.</x:v>
      </x:c>
      <x:c r="D9" s="12" t="str"/>
      <x:c r="E9" s="12" t="str"/>
      <x:c r="F9" s="12" t="str"/>
      <x:c r="G9" s="12" t="str"/>
      <x:c r="H9" s="12" t="str"/>
    </x:row>
    <x:row r="10">
      <x:c r="A10" s="12" t="str">
        <x:v>6</x:v>
      </x:c>
      <x:c r="B10" s="12" t="str">
        <x:v>فیش حقوق</x:v>
      </x:c>
      <x:c r="C10" s="12" t="str">
        <x:v>کد پرسنلی را انتخاب کنید تا فیش دوره جاری نمایش داده شود.</x:v>
      </x:c>
      <x:c r="D10" s="12" t="str"/>
      <x:c r="E10" s="12" t="str"/>
      <x:c r="F10" s="12" t="str"/>
      <x:c r="G10" s="12" t="str"/>
      <x:c r="H10" s="12" t="str"/>
    </x:row>
    <x:row r="11">
      <x:c r="A11" s="12" t="str">
        <x:v>کنترل</x:v>
      </x:c>
      <x:c r="B11" s="12" t="str">
        <x:v>زرد = ورودی کاربر</x:v>
      </x:c>
      <x:c r="C11" s="12" t="str">
        <x:v>آبی = فرمول/محاسبه خودکار</x:v>
      </x:c>
      <x:c r="D11" s="12" t="str"/>
      <x:c r="E11" s="12" t="str"/>
      <x:c r="F11" s="12" t="str"/>
      <x:c r="G11" s="12" t="str"/>
      <x:c r="H11" s="12" t="str"/>
    </x:row>
    <x:row r="12">
      <x:c r="A12" s="12" t="str">
        <x:v>هشدار</x:v>
      </x:c>
      <x:c r="B12" s="12" t="str">
        <x:v>مدل مالیاتی بر مبنای پارامترهای فعلی اپ Ontario است و باید پیش از استفاده واقعی توسط مسئول حقوق/مالیات بازبینی شود.</x:v>
      </x:c>
      <x:c r="C12" s="12" t="str"/>
      <x:c r="D12" s="12" t="str"/>
      <x:c r="E12" s="12" t="str"/>
      <x:c r="F12" s="12" t="str"/>
      <x:c r="G12" s="12" t="str"/>
      <x:c r="H12" s="12" t="str"/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2" hidden="0" customWidth="1"/>
  </x:cols>
  <x:sheetData>
    <x:row r="1" ht="26" customHeight="1">
      <x:c r="A1" s="4" t="str">
        <x:v>تنظیمات و مفروضات قابل ویرایش</x:v>
      </x:c>
      <x:c r="B1" s="4"/>
      <x:c r="C1" s="4"/>
      <x:c r="D1" s="4"/>
    </x:row>
    <x:row r="2" ht="26" customHeight="1">
      <x:c r="A2" s="4"/>
      <x:c r="B2" s="4"/>
      <x:c r="C2" s="4"/>
      <x:c r="D2" s="4"/>
    </x:row>
    <x:row r="4">
      <x:c r="A4" s="8" t="str">
        <x:v>پارامتر</x:v>
      </x:c>
      <x:c r="B4" s="8" t="str">
        <x:v>مقدار</x:v>
      </x:c>
      <x:c r="C4" s="8" t="str">
        <x:v>توضیح</x:v>
      </x:c>
    </x:row>
    <x:row r="5">
      <x:c r="A5" s="11" t="str">
        <x:v>تاریخ شروع دوره</x:v>
      </x:c>
      <x:c r="B5" s="14" t="n">
        <x:v>46266</x:v>
      </x:c>
      <x:c r="C5" s="11" t="str">
        <x:v>برای SUMIFS در محاسبه حقوق</x:v>
      </x:c>
    </x:row>
    <x:row r="6">
      <x:c r="A6" s="11" t="str">
        <x:v>تاریخ پایان دوره</x:v>
      </x:c>
      <x:c r="B6" s="14" t="n">
        <x:v>46295</x:v>
      </x:c>
      <x:c r="C6" s="11" t="str">
        <x:v>برای SUMIFS در محاسبه حقوق</x:v>
      </x:c>
    </x:row>
    <x:row r="7">
      <x:c r="A7" s="11" t="str">
        <x:v>ضریب اضافه‌کاری</x:v>
      </x:c>
      <x:c r="B7" s="15" t="n">
        <x:v>1.5</x:v>
      </x:c>
      <x:c r="C7" s="11" t="str">
        <x:v>نرخ ساعتی × ضریب</x:v>
      </x:c>
    </x:row>
    <x:row r="8">
      <x:c r="A8" s="11" t="str">
        <x:v>نرخ vacation pay</x:v>
      </x:c>
      <x:c r="B8" s="15" t="n">
        <x:v>0.04</x:v>
      </x:c>
      <x:c r="C8" s="11" t="str">
        <x:v>از مجموع حقوق عادی، اضافه‌کار و مرخصی با حقوق</x:v>
      </x:c>
    </x:row>
    <x:row r="9">
      <x:c r="A9" s="11" t="str">
        <x:v>معافیت ماهانه CPP</x:v>
      </x:c>
      <x:c r="B9" s="13" t="n">
        <x:v>291.67</x:v>
      </x:c>
      <x:c r="C9" s="11" t="str">
        <x:v>قابل ویرایش</x:v>
      </x:c>
    </x:row>
    <x:row r="10">
      <x:c r="A10" s="11" t="str">
        <x:v>نرخ CPP</x:v>
      </x:c>
      <x:c r="B10" s="15" t="n">
        <x:v>0.0595</x:v>
      </x:c>
      <x:c r="C10" s="11" t="str">
        <x:v>قابل ویرایش</x:v>
      </x:c>
    </x:row>
    <x:row r="11">
      <x:c r="A11" s="11" t="str">
        <x:v>آستانه سالانه CPP2</x:v>
      </x:c>
      <x:c r="B11" s="15" t="n">
        <x:v>71300</x:v>
      </x:c>
      <x:c r="C11" s="11" t="str">
        <x:v>قابل ویرایش</x:v>
      </x:c>
    </x:row>
    <x:row r="12">
      <x:c r="A12" s="11" t="str">
        <x:v>نرخ CPP2</x:v>
      </x:c>
      <x:c r="B12" s="13" t="n">
        <x:v>0.04</x:v>
      </x:c>
      <x:c r="C12" s="11" t="str">
        <x:v>قابل ویرایش</x:v>
      </x:c>
    </x:row>
    <x:row r="13">
      <x:c r="A13" s="11" t="str">
        <x:v>نرخ EI</x:v>
      </x:c>
      <x:c r="B13" s="15" t="n">
        <x:v>0.0163</x:v>
      </x:c>
      <x:c r="C13" s="11" t="str">
        <x:v>قابل ویرایش</x:v>
      </x:c>
    </x:row>
    <x:row r="14">
      <x:c r="A14" s="11" t="str">
        <x:v>آستانه OHP</x:v>
      </x:c>
      <x:c r="B14" s="15" t="n">
        <x:v>20000</x:v>
      </x:c>
      <x:c r="C14" s="11" t="str">
        <x:v>قابل ویرایش</x:v>
      </x:c>
    </x:row>
    <x:row r="15">
      <x:c r="A15" s="11" t="str">
        <x:v>نرخ OHP</x:v>
      </x:c>
      <x:c r="B15" s="13" t="n">
        <x:v>0.06</x:v>
      </x:c>
      <x:c r="C15" s="11" t="str">
        <x:v>قابل ویرایش</x:v>
      </x:c>
    </x:row>
    <x:row r="16">
      <x:c r="A16" s="11" t="str">
        <x:v>سقف سالانه OHP</x:v>
      </x:c>
      <x:c r="B16" s="15" t="n">
        <x:v>900</x:v>
      </x:c>
      <x:c r="C16" s="11" t="str">
        <x:v>قابل ویرایش</x:v>
      </x:c>
    </x:row>
    <x:row r="17">
      <x:c r="A17" s="11" t="str">
        <x:v>آستانه مالیات فدرال 1</x:v>
      </x:c>
      <x:c r="B17" s="13" t="n">
        <x:v>58523</x:v>
      </x:c>
      <x:c r="C17" s="11" t="str">
        <x:v>سالانه</x:v>
      </x:c>
    </x:row>
    <x:row r="18">
      <x:c r="A18" s="11" t="str">
        <x:v>نرخ فدرال 1</x:v>
      </x:c>
      <x:c r="B18" s="13" t="n">
        <x:v>0.14</x:v>
      </x:c>
      <x:c r="C18" s="11" t="str"/>
    </x:row>
    <x:row r="19">
      <x:c r="A19" s="11" t="str">
        <x:v>آستانه مالیات فدرال 2</x:v>
      </x:c>
      <x:c r="B19" s="15" t="n">
        <x:v>117045</x:v>
      </x:c>
      <x:c r="C19" s="11" t="str">
        <x:v>سالانه</x:v>
      </x:c>
    </x:row>
    <x:row r="20">
      <x:c r="A20" s="11" t="str">
        <x:v>نرخ فدرال 2</x:v>
      </x:c>
      <x:c r="B20" s="15" t="n">
        <x:v>0.205</x:v>
      </x:c>
      <x:c r="C20" s="11" t="str"/>
    </x:row>
    <x:row r="21">
      <x:c r="A21" s="11" t="str">
        <x:v>آستانه مالیات Ontario 1</x:v>
      </x:c>
      <x:c r="B21" s="13" t="n">
        <x:v>52886</x:v>
      </x:c>
      <x:c r="C21" s="11" t="str">
        <x:v>سالانه</x:v>
      </x:c>
    </x:row>
    <x:row r="22">
      <x:c r="A22" s="11" t="str">
        <x:v>نرخ Ontario 1</x:v>
      </x:c>
      <x:c r="B22" s="13" t="n">
        <x:v>0.0505</x:v>
      </x:c>
      <x:c r="C22" s="11" t="str"/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4" t="str">
        <x:v>کارمندان | فقط سلول‌های زرد را پر کنید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8" t="str">
        <x:v>کد پرسنلی</x:v>
      </x:c>
      <x:c r="B4" s="8" t="str">
        <x:v>نام و نام خانوادگی</x:v>
      </x:c>
      <x:c r="C4" s="8" t="str">
        <x:v>وضعیت</x:v>
      </x:c>
      <x:c r="D4" s="8" t="str">
        <x:v>تاریخ شروع</x:v>
      </x:c>
      <x:c r="E4" s="8" t="str">
        <x:v>نرخ ساعتی</x:v>
      </x:c>
      <x:c r="F4" s="8" t="str">
        <x:v>دپارتمان</x:v>
      </x:c>
      <x:c r="G4" s="8" t="str">
        <x:v>کد شغل</x:v>
      </x:c>
      <x:c r="H4" s="8" t="str">
        <x:v>مرکز هزینه</x:v>
      </x:c>
    </x:row>
    <x:row r="5">
      <x:c r="A5" s="13" t="str">
        <x:v>EMP-001</x:v>
      </x:c>
      <x:c r="B5" s="13" t="str">
        <x:v>نمونه کارمند</x:v>
      </x:c>
      <x:c r="C5" s="13" t="str">
        <x:v>active</x:v>
      </x:c>
      <x:c r="D5" s="14" t="n">
        <x:v>46266</x:v>
      </x:c>
      <x:c r="E5" s="16" t="n">
        <x:v>25</x:v>
      </x:c>
      <x:c r="F5" s="13" t="str">
        <x:v>عملیات</x:v>
      </x:c>
      <x:c r="G5" s="13" t="str">
        <x:v>OPS-01</x:v>
      </x:c>
      <x:c r="H5" s="13" t="str">
        <x:v>CC-100</x:v>
      </x:c>
    </x:row>
    <x:row r="6">
      <x:c r="A6" s="13"/>
      <x:c r="B6" s="13"/>
      <x:c r="C6" s="13"/>
      <x:c r="D6" s="14"/>
      <x:c r="E6" s="16"/>
      <x:c r="F6" s="13"/>
      <x:c r="G6" s="13"/>
      <x:c r="H6" s="13"/>
    </x:row>
    <x:row r="7">
      <x:c r="A7" s="13"/>
      <x:c r="B7" s="13"/>
      <x:c r="C7" s="13"/>
      <x:c r="D7" s="14"/>
      <x:c r="E7" s="16"/>
      <x:c r="F7" s="13"/>
      <x:c r="G7" s="13"/>
      <x:c r="H7" s="13"/>
    </x:row>
    <x:row r="8">
      <x:c r="A8" s="13"/>
      <x:c r="B8" s="13"/>
      <x:c r="C8" s="13"/>
      <x:c r="D8" s="14"/>
      <x:c r="E8" s="16"/>
      <x:c r="F8" s="13"/>
      <x:c r="G8" s="13"/>
      <x:c r="H8" s="13"/>
    </x:row>
    <x:row r="9">
      <x:c r="A9" s="13"/>
      <x:c r="B9" s="13"/>
      <x:c r="C9" s="13"/>
      <x:c r="D9" s="14"/>
      <x:c r="E9" s="16"/>
      <x:c r="F9" s="13"/>
      <x:c r="G9" s="13"/>
      <x:c r="H9" s="13"/>
    </x:row>
    <x:row r="10">
      <x:c r="A10" s="13"/>
      <x:c r="B10" s="13"/>
      <x:c r="C10" s="13"/>
      <x:c r="D10" s="14"/>
      <x:c r="E10" s="16"/>
      <x:c r="F10" s="13"/>
      <x:c r="G10" s="13"/>
      <x:c r="H10" s="13"/>
    </x:row>
    <x:row r="11">
      <x:c r="A11" s="13"/>
      <x:c r="B11" s="13"/>
      <x:c r="C11" s="13"/>
      <x:c r="D11" s="14"/>
      <x:c r="E11" s="16"/>
      <x:c r="F11" s="13"/>
      <x:c r="G11" s="13"/>
      <x:c r="H11" s="13"/>
    </x:row>
    <x:row r="12">
      <x:c r="A12" s="13"/>
      <x:c r="B12" s="13"/>
      <x:c r="C12" s="13"/>
      <x:c r="D12" s="14"/>
      <x:c r="E12" s="16"/>
      <x:c r="F12" s="13"/>
      <x:c r="G12" s="13"/>
      <x:c r="H12" s="13"/>
    </x:row>
    <x:row r="13">
      <x:c r="A13" s="13"/>
      <x:c r="B13" s="13"/>
      <x:c r="C13" s="13"/>
      <x:c r="D13" s="14"/>
      <x:c r="E13" s="16"/>
      <x:c r="F13" s="13"/>
      <x:c r="G13" s="13"/>
      <x:c r="H13" s="13"/>
    </x:row>
    <x:row r="14">
      <x:c r="A14" s="13"/>
      <x:c r="B14" s="13"/>
      <x:c r="C14" s="13"/>
      <x:c r="D14" s="14"/>
      <x:c r="E14" s="16"/>
      <x:c r="F14" s="13"/>
      <x:c r="G14" s="13"/>
      <x:c r="H14" s="13"/>
    </x:row>
    <x:row r="15">
      <x:c r="A15" s="13"/>
      <x:c r="B15" s="13"/>
      <x:c r="C15" s="13"/>
      <x:c r="D15" s="14"/>
      <x:c r="E15" s="16"/>
      <x:c r="F15" s="13"/>
      <x:c r="G15" s="13"/>
      <x:c r="H15" s="13"/>
    </x:row>
    <x:row r="16">
      <x:c r="A16" s="13"/>
      <x:c r="B16" s="13"/>
      <x:c r="C16" s="13"/>
      <x:c r="D16" s="14"/>
      <x:c r="E16" s="16"/>
      <x:c r="F16" s="13"/>
      <x:c r="G16" s="13"/>
      <x:c r="H16" s="13"/>
    </x:row>
    <x:row r="17">
      <x:c r="A17" s="13"/>
      <x:c r="B17" s="13"/>
      <x:c r="C17" s="13"/>
      <x:c r="D17" s="14"/>
      <x:c r="E17" s="16"/>
      <x:c r="F17" s="13"/>
      <x:c r="G17" s="13"/>
      <x:c r="H17" s="13"/>
    </x:row>
    <x:row r="18">
      <x:c r="A18" s="13"/>
      <x:c r="B18" s="13"/>
      <x:c r="C18" s="13"/>
      <x:c r="D18" s="14"/>
      <x:c r="E18" s="16"/>
      <x:c r="F18" s="13"/>
      <x:c r="G18" s="13"/>
      <x:c r="H18" s="13"/>
    </x:row>
    <x:row r="19">
      <x:c r="A19" s="13"/>
      <x:c r="B19" s="13"/>
      <x:c r="C19" s="13"/>
      <x:c r="D19" s="14"/>
      <x:c r="E19" s="16"/>
      <x:c r="F19" s="13"/>
      <x:c r="G19" s="13"/>
      <x:c r="H19" s="13"/>
    </x:row>
    <x:row r="20">
      <x:c r="A20" s="13"/>
      <x:c r="B20" s="13"/>
      <x:c r="C20" s="13"/>
      <x:c r="D20" s="14"/>
      <x:c r="E20" s="16"/>
      <x:c r="F20" s="13"/>
      <x:c r="G20" s="13"/>
      <x:c r="H20" s="13"/>
    </x:row>
    <x:row r="21">
      <x:c r="A21" s="13"/>
      <x:c r="B21" s="13"/>
      <x:c r="C21" s="13"/>
      <x:c r="D21" s="14"/>
      <x:c r="E21" s="16"/>
      <x:c r="F21" s="13"/>
      <x:c r="G21" s="13"/>
      <x:c r="H21" s="13"/>
    </x:row>
    <x:row r="22">
      <x:c r="A22" s="13"/>
      <x:c r="B22" s="13"/>
      <x:c r="C22" s="13"/>
      <x:c r="D22" s="14"/>
      <x:c r="E22" s="16"/>
      <x:c r="F22" s="13"/>
      <x:c r="G22" s="13"/>
      <x:c r="H22" s="13"/>
    </x:row>
    <x:row r="23">
      <x:c r="A23" s="13"/>
      <x:c r="B23" s="13"/>
      <x:c r="C23" s="13"/>
      <x:c r="D23" s="14"/>
      <x:c r="E23" s="16"/>
      <x:c r="F23" s="13"/>
      <x:c r="G23" s="13"/>
      <x:c r="H23" s="13"/>
    </x:row>
    <x:row r="24">
      <x:c r="A24" s="13"/>
      <x:c r="B24" s="13"/>
      <x:c r="C24" s="13"/>
      <x:c r="D24" s="14"/>
      <x:c r="E24" s="16"/>
      <x:c r="F24" s="13"/>
      <x:c r="G24" s="13"/>
      <x:c r="H24" s="13"/>
    </x:row>
    <x:row r="25">
      <x:c r="A25" s="13"/>
      <x:c r="B25" s="13"/>
      <x:c r="C25" s="13"/>
      <x:c r="D25" s="14"/>
      <x:c r="E25" s="16"/>
      <x:c r="F25" s="13"/>
      <x:c r="G25" s="13"/>
      <x:c r="H25" s="13"/>
    </x:row>
    <x:row r="26">
      <x:c r="A26" s="13"/>
      <x:c r="B26" s="13"/>
      <x:c r="C26" s="13"/>
      <x:c r="D26" s="14"/>
      <x:c r="E26" s="16"/>
      <x:c r="F26" s="13"/>
      <x:c r="G26" s="13"/>
      <x:c r="H26" s="13"/>
    </x:row>
    <x:row r="27">
      <x:c r="A27" s="13"/>
      <x:c r="B27" s="13"/>
      <x:c r="C27" s="13"/>
      <x:c r="D27" s="14"/>
      <x:c r="E27" s="16"/>
      <x:c r="F27" s="13"/>
      <x:c r="G27" s="13"/>
      <x:c r="H27" s="13"/>
    </x:row>
    <x:row r="28">
      <x:c r="A28" s="13"/>
      <x:c r="B28" s="13"/>
      <x:c r="C28" s="13"/>
      <x:c r="D28" s="14"/>
      <x:c r="E28" s="16"/>
      <x:c r="F28" s="13"/>
      <x:c r="G28" s="13"/>
      <x:c r="H28" s="13"/>
    </x:row>
    <x:row r="29">
      <x:c r="A29" s="13"/>
      <x:c r="B29" s="13"/>
      <x:c r="C29" s="13"/>
      <x:c r="D29" s="14"/>
      <x:c r="E29" s="16"/>
      <x:c r="F29" s="13"/>
      <x:c r="G29" s="13"/>
      <x:c r="H29" s="13"/>
    </x:row>
    <x:row r="30">
      <x:c r="A30" s="13"/>
      <x:c r="B30" s="13"/>
      <x:c r="C30" s="13"/>
      <x:c r="D30" s="14"/>
      <x:c r="E30" s="16"/>
      <x:c r="F30" s="13"/>
      <x:c r="G30" s="13"/>
      <x:c r="H30" s="13"/>
    </x:row>
    <x:row r="31">
      <x:c r="A31" s="13"/>
      <x:c r="B31" s="13"/>
      <x:c r="C31" s="13"/>
      <x:c r="D31" s="14"/>
      <x:c r="E31" s="16"/>
      <x:c r="F31" s="13"/>
      <x:c r="G31" s="13"/>
      <x:c r="H31" s="13"/>
    </x:row>
    <x:row r="32">
      <x:c r="A32" s="13"/>
      <x:c r="B32" s="13"/>
      <x:c r="C32" s="13"/>
      <x:c r="D32" s="14"/>
      <x:c r="E32" s="16"/>
      <x:c r="F32" s="13"/>
      <x:c r="G32" s="13"/>
      <x:c r="H32" s="13"/>
    </x:row>
    <x:row r="33">
      <x:c r="A33" s="13"/>
      <x:c r="B33" s="13"/>
      <x:c r="C33" s="13"/>
      <x:c r="D33" s="14"/>
      <x:c r="E33" s="16"/>
      <x:c r="F33" s="13"/>
      <x:c r="G33" s="13"/>
      <x:c r="H33" s="13"/>
    </x:row>
    <x:row r="34">
      <x:c r="A34" s="13"/>
      <x:c r="B34" s="13"/>
      <x:c r="C34" s="13"/>
      <x:c r="D34" s="14"/>
      <x:c r="E34" s="16"/>
      <x:c r="F34" s="13"/>
      <x:c r="G34" s="13"/>
      <x:c r="H34" s="13"/>
    </x:row>
    <x:row r="35">
      <x:c r="A35" s="13"/>
      <x:c r="B35" s="13"/>
      <x:c r="C35" s="13"/>
      <x:c r="D35" s="14"/>
      <x:c r="E35" s="16"/>
      <x:c r="F35" s="13"/>
      <x:c r="G35" s="13"/>
      <x:c r="H35" s="13"/>
    </x:row>
    <x:row r="36">
      <x:c r="A36" s="13"/>
      <x:c r="B36" s="13"/>
      <x:c r="C36" s="13"/>
      <x:c r="D36" s="14"/>
      <x:c r="E36" s="16"/>
      <x:c r="F36" s="13"/>
      <x:c r="G36" s="13"/>
      <x:c r="H36" s="13"/>
    </x:row>
    <x:row r="37">
      <x:c r="A37" s="13"/>
      <x:c r="B37" s="13"/>
      <x:c r="C37" s="13"/>
      <x:c r="D37" s="14"/>
      <x:c r="E37" s="16"/>
      <x:c r="F37" s="13"/>
      <x:c r="G37" s="13"/>
      <x:c r="H37" s="13"/>
    </x:row>
    <x:row r="38">
      <x:c r="A38" s="13"/>
      <x:c r="B38" s="13"/>
      <x:c r="C38" s="13"/>
      <x:c r="D38" s="14"/>
      <x:c r="E38" s="16"/>
      <x:c r="F38" s="13"/>
      <x:c r="G38" s="13"/>
      <x:c r="H38" s="13"/>
    </x:row>
    <x:row r="39">
      <x:c r="A39" s="13"/>
      <x:c r="B39" s="13"/>
      <x:c r="C39" s="13"/>
      <x:c r="D39" s="14"/>
      <x:c r="E39" s="16"/>
      <x:c r="F39" s="13"/>
      <x:c r="G39" s="13"/>
      <x:c r="H39" s="13"/>
    </x:row>
    <x:row r="40">
      <x:c r="A40" s="13"/>
      <x:c r="B40" s="13"/>
      <x:c r="C40" s="13"/>
      <x:c r="D40" s="14"/>
      <x:c r="E40" s="16"/>
      <x:c r="F40" s="13"/>
      <x:c r="G40" s="13"/>
      <x:c r="H40" s="13"/>
    </x:row>
    <x:row r="41">
      <x:c r="A41" s="13"/>
      <x:c r="B41" s="13"/>
      <x:c r="C41" s="13"/>
      <x:c r="D41" s="14"/>
      <x:c r="E41" s="16"/>
      <x:c r="F41" s="13"/>
      <x:c r="G41" s="13"/>
      <x:c r="H41" s="13"/>
    </x:row>
    <x:row r="42">
      <x:c r="A42" s="13"/>
      <x:c r="B42" s="13"/>
      <x:c r="C42" s="13"/>
      <x:c r="D42" s="14"/>
      <x:c r="E42" s="16"/>
      <x:c r="F42" s="13"/>
      <x:c r="G42" s="13"/>
      <x:c r="H42" s="13"/>
    </x:row>
    <x:row r="43">
      <x:c r="A43" s="13"/>
      <x:c r="B43" s="13"/>
      <x:c r="C43" s="13"/>
      <x:c r="D43" s="14"/>
      <x:c r="E43" s="16"/>
      <x:c r="F43" s="13"/>
      <x:c r="G43" s="13"/>
      <x:c r="H43" s="13"/>
    </x:row>
    <x:row r="44">
      <x:c r="A44" s="13"/>
      <x:c r="B44" s="13"/>
      <x:c r="C44" s="13"/>
      <x:c r="D44" s="14"/>
      <x:c r="E44" s="16"/>
      <x:c r="F44" s="13"/>
      <x:c r="G44" s="13"/>
      <x:c r="H44" s="13"/>
    </x:row>
    <x:row r="45">
      <x:c r="A45" s="13"/>
      <x:c r="B45" s="13"/>
      <x:c r="C45" s="13"/>
      <x:c r="D45" s="14"/>
      <x:c r="E45" s="16"/>
      <x:c r="F45" s="13"/>
      <x:c r="G45" s="13"/>
      <x:c r="H45" s="13"/>
    </x:row>
    <x:row r="46">
      <x:c r="A46" s="13"/>
      <x:c r="B46" s="13"/>
      <x:c r="C46" s="13"/>
      <x:c r="D46" s="14"/>
      <x:c r="E46" s="16"/>
      <x:c r="F46" s="13"/>
      <x:c r="G46" s="13"/>
      <x:c r="H46" s="13"/>
    </x:row>
    <x:row r="47">
      <x:c r="A47" s="13"/>
      <x:c r="B47" s="13"/>
      <x:c r="C47" s="13"/>
      <x:c r="D47" s="14"/>
      <x:c r="E47" s="16"/>
      <x:c r="F47" s="13"/>
      <x:c r="G47" s="13"/>
      <x:c r="H47" s="13"/>
    </x:row>
    <x:row r="48">
      <x:c r="A48" s="13"/>
      <x:c r="B48" s="13"/>
      <x:c r="C48" s="13"/>
      <x:c r="D48" s="14"/>
      <x:c r="E48" s="16"/>
      <x:c r="F48" s="13"/>
      <x:c r="G48" s="13"/>
      <x:c r="H48" s="13"/>
    </x:row>
    <x:row r="49">
      <x:c r="A49" s="13"/>
      <x:c r="B49" s="13"/>
      <x:c r="C49" s="13"/>
      <x:c r="D49" s="14"/>
      <x:c r="E49" s="16"/>
      <x:c r="F49" s="13"/>
      <x:c r="G49" s="13"/>
      <x:c r="H49" s="13"/>
    </x:row>
    <x:row r="50">
      <x:c r="A50" s="13"/>
      <x:c r="B50" s="13"/>
      <x:c r="C50" s="13"/>
      <x:c r="D50" s="14"/>
      <x:c r="E50" s="16"/>
      <x:c r="F50" s="13"/>
      <x:c r="G50" s="13"/>
      <x:c r="H50" s="13"/>
    </x:row>
    <x:row r="51">
      <x:c r="A51" s="13"/>
      <x:c r="B51" s="13"/>
      <x:c r="C51" s="13"/>
      <x:c r="D51" s="14"/>
      <x:c r="E51" s="16"/>
      <x:c r="F51" s="13"/>
      <x:c r="G51" s="13"/>
      <x:c r="H51" s="13"/>
    </x:row>
    <x:row r="52">
      <x:c r="A52" s="13"/>
      <x:c r="B52" s="13"/>
      <x:c r="C52" s="13"/>
      <x:c r="D52" s="14"/>
      <x:c r="E52" s="16"/>
      <x:c r="F52" s="13"/>
      <x:c r="G52" s="13"/>
      <x:c r="H52" s="13"/>
    </x:row>
    <x:row r="53">
      <x:c r="A53" s="13"/>
      <x:c r="B53" s="13"/>
      <x:c r="C53" s="13"/>
      <x:c r="D53" s="14"/>
      <x:c r="E53" s="16"/>
      <x:c r="F53" s="13"/>
      <x:c r="G53" s="13"/>
      <x:c r="H53" s="13"/>
    </x:row>
    <x:row r="54">
      <x:c r="A54" s="13"/>
      <x:c r="B54" s="13"/>
      <x:c r="C54" s="13"/>
      <x:c r="D54" s="14"/>
      <x:c r="E54" s="16"/>
      <x:c r="F54" s="13"/>
      <x:c r="G54" s="13"/>
      <x:c r="H54" s="13"/>
    </x:row>
    <x:row r="55">
      <x:c r="A55" s="13"/>
      <x:c r="B55" s="13"/>
      <x:c r="C55" s="13"/>
      <x:c r="D55" s="14"/>
      <x:c r="E55" s="16"/>
      <x:c r="F55" s="13"/>
      <x:c r="G55" s="13"/>
      <x:c r="H55" s="13"/>
    </x:row>
    <x:row r="56">
      <x:c r="A56" s="13"/>
      <x:c r="B56" s="13"/>
      <x:c r="C56" s="13"/>
      <x:c r="D56" s="14"/>
      <x:c r="E56" s="16"/>
      <x:c r="F56" s="13"/>
      <x:c r="G56" s="13"/>
      <x:c r="H56" s="13"/>
    </x:row>
    <x:row r="57">
      <x:c r="A57" s="13"/>
      <x:c r="B57" s="13"/>
      <x:c r="C57" s="13"/>
      <x:c r="D57" s="14"/>
      <x:c r="E57" s="16"/>
      <x:c r="F57" s="13"/>
      <x:c r="G57" s="13"/>
      <x:c r="H57" s="13"/>
    </x:row>
    <x:row r="58">
      <x:c r="A58" s="13"/>
      <x:c r="B58" s="13"/>
      <x:c r="C58" s="13"/>
      <x:c r="D58" s="14"/>
      <x:c r="E58" s="16"/>
      <x:c r="F58" s="13"/>
      <x:c r="G58" s="13"/>
      <x:c r="H58" s="13"/>
    </x:row>
    <x:row r="59">
      <x:c r="A59" s="13"/>
      <x:c r="B59" s="13"/>
      <x:c r="C59" s="13"/>
      <x:c r="D59" s="14"/>
      <x:c r="E59" s="16"/>
      <x:c r="F59" s="13"/>
      <x:c r="G59" s="13"/>
      <x:c r="H59" s="13"/>
    </x:row>
    <x:row r="60">
      <x:c r="A60" s="13"/>
      <x:c r="B60" s="13"/>
      <x:c r="C60" s="13"/>
      <x:c r="D60" s="14"/>
      <x:c r="E60" s="16"/>
      <x:c r="F60" s="13"/>
      <x:c r="G60" s="13"/>
      <x:c r="H60" s="13"/>
    </x:row>
    <x:row r="61">
      <x:c r="A61" s="13"/>
      <x:c r="B61" s="13"/>
      <x:c r="C61" s="13"/>
      <x:c r="D61" s="14"/>
      <x:c r="E61" s="16"/>
      <x:c r="F61" s="13"/>
      <x:c r="G61" s="13"/>
      <x:c r="H61" s="13"/>
    </x:row>
    <x:row r="62">
      <x:c r="A62" s="13"/>
      <x:c r="B62" s="13"/>
      <x:c r="C62" s="13"/>
      <x:c r="D62" s="14"/>
      <x:c r="E62" s="16"/>
      <x:c r="F62" s="13"/>
      <x:c r="G62" s="13"/>
      <x:c r="H62" s="13"/>
    </x:row>
    <x:row r="63">
      <x:c r="A63" s="13"/>
      <x:c r="B63" s="13"/>
      <x:c r="C63" s="13"/>
      <x:c r="D63" s="14"/>
      <x:c r="E63" s="16"/>
      <x:c r="F63" s="13"/>
      <x:c r="G63" s="13"/>
      <x:c r="H63" s="13"/>
    </x:row>
    <x:row r="64">
      <x:c r="A64" s="13"/>
      <x:c r="B64" s="13"/>
      <x:c r="C64" s="13"/>
      <x:c r="D64" s="14"/>
      <x:c r="E64" s="16"/>
      <x:c r="F64" s="13"/>
      <x:c r="G64" s="13"/>
      <x:c r="H64" s="13"/>
    </x:row>
    <x:row r="65">
      <x:c r="A65" s="13"/>
      <x:c r="B65" s="13"/>
      <x:c r="C65" s="13"/>
      <x:c r="D65" s="14"/>
      <x:c r="E65" s="16"/>
      <x:c r="F65" s="13"/>
      <x:c r="G65" s="13"/>
      <x:c r="H65" s="13"/>
    </x:row>
    <x:row r="66">
      <x:c r="A66" s="13"/>
      <x:c r="B66" s="13"/>
      <x:c r="C66" s="13"/>
      <x:c r="D66" s="14"/>
      <x:c r="E66" s="16"/>
      <x:c r="F66" s="13"/>
      <x:c r="G66" s="13"/>
      <x:c r="H66" s="13"/>
    </x:row>
    <x:row r="67">
      <x:c r="A67" s="13"/>
      <x:c r="B67" s="13"/>
      <x:c r="C67" s="13"/>
      <x:c r="D67" s="14"/>
      <x:c r="E67" s="16"/>
      <x:c r="F67" s="13"/>
      <x:c r="G67" s="13"/>
      <x:c r="H67" s="13"/>
    </x:row>
    <x:row r="68">
      <x:c r="A68" s="13"/>
      <x:c r="B68" s="13"/>
      <x:c r="C68" s="13"/>
      <x:c r="D68" s="14"/>
      <x:c r="E68" s="16"/>
      <x:c r="F68" s="13"/>
      <x:c r="G68" s="13"/>
      <x:c r="H68" s="13"/>
    </x:row>
    <x:row r="69">
      <x:c r="A69" s="13"/>
      <x:c r="B69" s="13"/>
      <x:c r="C69" s="13"/>
      <x:c r="D69" s="14"/>
      <x:c r="E69" s="16"/>
      <x:c r="F69" s="13"/>
      <x:c r="G69" s="13"/>
      <x:c r="H69" s="13"/>
    </x:row>
    <x:row r="70">
      <x:c r="A70" s="13"/>
      <x:c r="B70" s="13"/>
      <x:c r="C70" s="13"/>
      <x:c r="D70" s="14"/>
      <x:c r="E70" s="16"/>
      <x:c r="F70" s="13"/>
      <x:c r="G70" s="13"/>
      <x:c r="H70" s="13"/>
    </x:row>
    <x:row r="71">
      <x:c r="A71" s="13"/>
      <x:c r="B71" s="13"/>
      <x:c r="C71" s="13"/>
      <x:c r="D71" s="14"/>
      <x:c r="E71" s="16"/>
      <x:c r="F71" s="13"/>
      <x:c r="G71" s="13"/>
      <x:c r="H71" s="13"/>
    </x:row>
    <x:row r="72">
      <x:c r="A72" s="13"/>
      <x:c r="B72" s="13"/>
      <x:c r="C72" s="13"/>
      <x:c r="D72" s="14"/>
      <x:c r="E72" s="16"/>
      <x:c r="F72" s="13"/>
      <x:c r="G72" s="13"/>
      <x:c r="H72" s="13"/>
    </x:row>
    <x:row r="73">
      <x:c r="A73" s="13"/>
      <x:c r="B73" s="13"/>
      <x:c r="C73" s="13"/>
      <x:c r="D73" s="14"/>
      <x:c r="E73" s="16"/>
      <x:c r="F73" s="13"/>
      <x:c r="G73" s="13"/>
      <x:c r="H73" s="13"/>
    </x:row>
    <x:row r="74">
      <x:c r="A74" s="13"/>
      <x:c r="B74" s="13"/>
      <x:c r="C74" s="13"/>
      <x:c r="D74" s="14"/>
      <x:c r="E74" s="16"/>
      <x:c r="F74" s="13"/>
      <x:c r="G74" s="13"/>
      <x:c r="H74" s="13"/>
    </x:row>
    <x:row r="75">
      <x:c r="A75" s="13"/>
      <x:c r="B75" s="13"/>
      <x:c r="C75" s="13"/>
      <x:c r="D75" s="14"/>
      <x:c r="E75" s="16"/>
      <x:c r="F75" s="13"/>
      <x:c r="G75" s="13"/>
      <x:c r="H75" s="13"/>
    </x:row>
    <x:row r="76">
      <x:c r="A76" s="13"/>
      <x:c r="B76" s="13"/>
      <x:c r="C76" s="13"/>
      <x:c r="D76" s="14"/>
      <x:c r="E76" s="16"/>
      <x:c r="F76" s="13"/>
      <x:c r="G76" s="13"/>
      <x:c r="H76" s="13"/>
    </x:row>
    <x:row r="77">
      <x:c r="A77" s="13"/>
      <x:c r="B77" s="13"/>
      <x:c r="C77" s="13"/>
      <x:c r="D77" s="14"/>
      <x:c r="E77" s="16"/>
      <x:c r="F77" s="13"/>
      <x:c r="G77" s="13"/>
      <x:c r="H77" s="13"/>
    </x:row>
    <x:row r="78">
      <x:c r="A78" s="13"/>
      <x:c r="B78" s="13"/>
      <x:c r="C78" s="13"/>
      <x:c r="D78" s="14"/>
      <x:c r="E78" s="16"/>
      <x:c r="F78" s="13"/>
      <x:c r="G78" s="13"/>
      <x:c r="H78" s="13"/>
    </x:row>
    <x:row r="79">
      <x:c r="A79" s="13"/>
      <x:c r="B79" s="13"/>
      <x:c r="C79" s="13"/>
      <x:c r="D79" s="14"/>
      <x:c r="E79" s="16"/>
      <x:c r="F79" s="13"/>
      <x:c r="G79" s="13"/>
      <x:c r="H79" s="13"/>
    </x:row>
    <x:row r="80">
      <x:c r="A80" s="13"/>
      <x:c r="B80" s="13"/>
      <x:c r="C80" s="13"/>
      <x:c r="D80" s="14"/>
      <x:c r="E80" s="16"/>
      <x:c r="F80" s="13"/>
      <x:c r="G80" s="13"/>
      <x:c r="H80" s="13"/>
    </x:row>
    <x:row r="81">
      <x:c r="A81" s="13"/>
      <x:c r="B81" s="13"/>
      <x:c r="C81" s="13"/>
      <x:c r="D81" s="14"/>
      <x:c r="E81" s="16"/>
      <x:c r="F81" s="13"/>
      <x:c r="G81" s="13"/>
      <x:c r="H81" s="13"/>
    </x:row>
    <x:row r="82">
      <x:c r="A82" s="13"/>
      <x:c r="B82" s="13"/>
      <x:c r="C82" s="13"/>
      <x:c r="D82" s="14"/>
      <x:c r="E82" s="16"/>
      <x:c r="F82" s="13"/>
      <x:c r="G82" s="13"/>
      <x:c r="H82" s="13"/>
    </x:row>
    <x:row r="83">
      <x:c r="A83" s="13"/>
      <x:c r="B83" s="13"/>
      <x:c r="C83" s="13"/>
      <x:c r="D83" s="14"/>
      <x:c r="E83" s="16"/>
      <x:c r="F83" s="13"/>
      <x:c r="G83" s="13"/>
      <x:c r="H83" s="13"/>
    </x:row>
    <x:row r="84">
      <x:c r="A84" s="13"/>
      <x:c r="B84" s="13"/>
      <x:c r="C84" s="13"/>
      <x:c r="D84" s="14"/>
      <x:c r="E84" s="16"/>
      <x:c r="F84" s="13"/>
      <x:c r="G84" s="13"/>
      <x:c r="H84" s="13"/>
    </x:row>
    <x:row r="85">
      <x:c r="A85" s="13"/>
      <x:c r="B85" s="13"/>
      <x:c r="C85" s="13"/>
      <x:c r="D85" s="14"/>
      <x:c r="E85" s="16"/>
      <x:c r="F85" s="13"/>
      <x:c r="G85" s="13"/>
      <x:c r="H85" s="13"/>
    </x:row>
    <x:row r="86">
      <x:c r="A86" s="13"/>
      <x:c r="B86" s="13"/>
      <x:c r="C86" s="13"/>
      <x:c r="D86" s="14"/>
      <x:c r="E86" s="16"/>
      <x:c r="F86" s="13"/>
      <x:c r="G86" s="13"/>
      <x:c r="H86" s="13"/>
    </x:row>
    <x:row r="87">
      <x:c r="A87" s="13"/>
      <x:c r="B87" s="13"/>
      <x:c r="C87" s="13"/>
      <x:c r="D87" s="14"/>
      <x:c r="E87" s="16"/>
      <x:c r="F87" s="13"/>
      <x:c r="G87" s="13"/>
      <x:c r="H87" s="13"/>
    </x:row>
    <x:row r="88">
      <x:c r="A88" s="13"/>
      <x:c r="B88" s="13"/>
      <x:c r="C88" s="13"/>
      <x:c r="D88" s="14"/>
      <x:c r="E88" s="16"/>
      <x:c r="F88" s="13"/>
      <x:c r="G88" s="13"/>
      <x:c r="H88" s="13"/>
    </x:row>
    <x:row r="89">
      <x:c r="A89" s="13"/>
      <x:c r="B89" s="13"/>
      <x:c r="C89" s="13"/>
      <x:c r="D89" s="14"/>
      <x:c r="E89" s="16"/>
      <x:c r="F89" s="13"/>
      <x:c r="G89" s="13"/>
      <x:c r="H89" s="13"/>
    </x:row>
    <x:row r="90">
      <x:c r="A90" s="13"/>
      <x:c r="B90" s="13"/>
      <x:c r="C90" s="13"/>
      <x:c r="D90" s="14"/>
      <x:c r="E90" s="16"/>
      <x:c r="F90" s="13"/>
      <x:c r="G90" s="13"/>
      <x:c r="H90" s="13"/>
    </x:row>
    <x:row r="91">
      <x:c r="A91" s="13"/>
      <x:c r="B91" s="13"/>
      <x:c r="C91" s="13"/>
      <x:c r="D91" s="14"/>
      <x:c r="E91" s="16"/>
      <x:c r="F91" s="13"/>
      <x:c r="G91" s="13"/>
      <x:c r="H91" s="13"/>
    </x:row>
    <x:row r="92">
      <x:c r="A92" s="13"/>
      <x:c r="B92" s="13"/>
      <x:c r="C92" s="13"/>
      <x:c r="D92" s="14"/>
      <x:c r="E92" s="16"/>
      <x:c r="F92" s="13"/>
      <x:c r="G92" s="13"/>
      <x:c r="H92" s="13"/>
    </x:row>
    <x:row r="93">
      <x:c r="A93" s="13"/>
      <x:c r="B93" s="13"/>
      <x:c r="C93" s="13"/>
      <x:c r="D93" s="14"/>
      <x:c r="E93" s="16"/>
      <x:c r="F93" s="13"/>
      <x:c r="G93" s="13"/>
      <x:c r="H93" s="13"/>
    </x:row>
    <x:row r="94">
      <x:c r="A94" s="13"/>
      <x:c r="B94" s="13"/>
      <x:c r="C94" s="13"/>
      <x:c r="D94" s="14"/>
      <x:c r="E94" s="16"/>
      <x:c r="F94" s="13"/>
      <x:c r="G94" s="13"/>
      <x:c r="H94" s="13"/>
    </x:row>
    <x:row r="95">
      <x:c r="A95" s="13"/>
      <x:c r="B95" s="13"/>
      <x:c r="C95" s="13"/>
      <x:c r="D95" s="14"/>
      <x:c r="E95" s="16"/>
      <x:c r="F95" s="13"/>
      <x:c r="G95" s="13"/>
      <x:c r="H95" s="13"/>
    </x:row>
    <x:row r="96">
      <x:c r="A96" s="13"/>
      <x:c r="B96" s="13"/>
      <x:c r="C96" s="13"/>
      <x:c r="D96" s="14"/>
      <x:c r="E96" s="16"/>
      <x:c r="F96" s="13"/>
      <x:c r="G96" s="13"/>
      <x:c r="H96" s="13"/>
    </x:row>
    <x:row r="97">
      <x:c r="A97" s="13"/>
      <x:c r="B97" s="13"/>
      <x:c r="C97" s="13"/>
      <x:c r="D97" s="14"/>
      <x:c r="E97" s="16"/>
      <x:c r="F97" s="13"/>
      <x:c r="G97" s="13"/>
      <x:c r="H97" s="13"/>
    </x:row>
    <x:row r="98">
      <x:c r="A98" s="13"/>
      <x:c r="B98" s="13"/>
      <x:c r="C98" s="13"/>
      <x:c r="D98" s="14"/>
      <x:c r="E98" s="16"/>
      <x:c r="F98" s="13"/>
      <x:c r="G98" s="13"/>
      <x:c r="H98" s="13"/>
    </x:row>
    <x:row r="99">
      <x:c r="A99" s="13"/>
      <x:c r="B99" s="13"/>
      <x:c r="C99" s="13"/>
      <x:c r="D99" s="14"/>
      <x:c r="E99" s="16"/>
      <x:c r="F99" s="13"/>
      <x:c r="G99" s="13"/>
      <x:c r="H99" s="13"/>
    </x:row>
    <x:row r="100">
      <x:c r="A100" s="13"/>
      <x:c r="B100" s="13"/>
      <x:c r="C100" s="13"/>
      <x:c r="D100" s="14"/>
      <x:c r="E100" s="16"/>
      <x:c r="F100" s="13"/>
      <x:c r="G100" s="13"/>
      <x:c r="H100" s="13"/>
    </x:row>
    <x:row r="101">
      <x:c r="A101" s="13"/>
      <x:c r="B101" s="13"/>
      <x:c r="C101" s="13"/>
      <x:c r="D101" s="14"/>
      <x:c r="E101" s="16"/>
      <x:c r="F101" s="13"/>
      <x:c r="G101" s="13"/>
      <x:c r="H101" s="13"/>
    </x:row>
    <x:row r="102">
      <x:c r="A102" s="13"/>
      <x:c r="B102" s="13"/>
      <x:c r="C102" s="13"/>
      <x:c r="D102" s="14"/>
      <x:c r="E102" s="16"/>
      <x:c r="F102" s="13"/>
      <x:c r="G102" s="13"/>
      <x:c r="H102" s="13"/>
    </x:row>
    <x:row r="103">
      <x:c r="A103" s="13"/>
      <x:c r="B103" s="13"/>
      <x:c r="C103" s="13"/>
      <x:c r="D103" s="14"/>
      <x:c r="E103" s="16"/>
      <x:c r="F103" s="13"/>
      <x:c r="G103" s="13"/>
      <x:c r="H103" s="13"/>
    </x:row>
    <x:row r="104">
      <x:c r="A104" s="13"/>
      <x:c r="B104" s="13"/>
      <x:c r="C104" s="13"/>
      <x:c r="D104" s="14"/>
      <x:c r="E104" s="16"/>
      <x:c r="F104" s="13"/>
      <x:c r="G104" s="13"/>
      <x:c r="H104" s="13"/>
    </x:row>
    <x:row r="105">
      <x:c r="A105" s="13"/>
      <x:c r="B105" s="13"/>
      <x:c r="C105" s="13"/>
      <x:c r="D105" s="14"/>
      <x:c r="E105" s="16"/>
      <x:c r="F105" s="13"/>
      <x:c r="G105" s="13"/>
      <x:c r="H105" s="13"/>
    </x:row>
    <x:row r="106">
      <x:c r="A106" s="13"/>
      <x:c r="B106" s="13"/>
      <x:c r="C106" s="13"/>
      <x:c r="D106" s="14"/>
      <x:c r="E106" s="16"/>
      <x:c r="F106" s="13"/>
      <x:c r="G106" s="13"/>
      <x:c r="H106" s="13"/>
    </x:row>
    <x:row r="107">
      <x:c r="A107" s="13"/>
      <x:c r="B107" s="13"/>
      <x:c r="C107" s="13"/>
      <x:c r="D107" s="14"/>
      <x:c r="E107" s="16"/>
      <x:c r="F107" s="13"/>
      <x:c r="G107" s="13"/>
      <x:c r="H107" s="13"/>
    </x:row>
    <x:row r="108">
      <x:c r="A108" s="13"/>
      <x:c r="B108" s="13"/>
      <x:c r="C108" s="13"/>
      <x:c r="D108" s="14"/>
      <x:c r="E108" s="16"/>
      <x:c r="F108" s="13"/>
      <x:c r="G108" s="13"/>
      <x:c r="H108" s="13"/>
    </x:row>
    <x:row r="109">
      <x:c r="A109" s="13"/>
      <x:c r="B109" s="13"/>
      <x:c r="C109" s="13"/>
      <x:c r="D109" s="14"/>
      <x:c r="E109" s="16"/>
      <x:c r="F109" s="13"/>
      <x:c r="G109" s="13"/>
      <x:c r="H109" s="13"/>
    </x:row>
    <x:row r="110">
      <x:c r="A110" s="13"/>
      <x:c r="B110" s="13"/>
      <x:c r="C110" s="13"/>
      <x:c r="D110" s="14"/>
      <x:c r="E110" s="16"/>
      <x:c r="F110" s="13"/>
      <x:c r="G110" s="13"/>
      <x:c r="H110" s="13"/>
    </x:row>
    <x:row r="111">
      <x:c r="A111" s="13"/>
      <x:c r="B111" s="13"/>
      <x:c r="C111" s="13"/>
      <x:c r="D111" s="14"/>
      <x:c r="E111" s="16"/>
      <x:c r="F111" s="13"/>
      <x:c r="G111" s="13"/>
      <x:c r="H111" s="13"/>
    </x:row>
    <x:row r="112">
      <x:c r="A112" s="13"/>
      <x:c r="B112" s="13"/>
      <x:c r="C112" s="13"/>
      <x:c r="D112" s="14"/>
      <x:c r="E112" s="16"/>
      <x:c r="F112" s="13"/>
      <x:c r="G112" s="13"/>
      <x:c r="H112" s="13"/>
    </x:row>
    <x:row r="113">
      <x:c r="A113" s="13"/>
      <x:c r="B113" s="13"/>
      <x:c r="C113" s="13"/>
      <x:c r="D113" s="14"/>
      <x:c r="E113" s="16"/>
      <x:c r="F113" s="13"/>
      <x:c r="G113" s="13"/>
      <x:c r="H113" s="13"/>
    </x:row>
    <x:row r="114">
      <x:c r="A114" s="13"/>
      <x:c r="B114" s="13"/>
      <x:c r="C114" s="13"/>
      <x:c r="D114" s="14"/>
      <x:c r="E114" s="16"/>
      <x:c r="F114" s="13"/>
      <x:c r="G114" s="13"/>
      <x:c r="H114" s="13"/>
    </x:row>
    <x:row r="115">
      <x:c r="A115" s="13"/>
      <x:c r="B115" s="13"/>
      <x:c r="C115" s="13"/>
      <x:c r="D115" s="14"/>
      <x:c r="E115" s="16"/>
      <x:c r="F115" s="13"/>
      <x:c r="G115" s="13"/>
      <x:c r="H115" s="13"/>
    </x:row>
    <x:row r="116">
      <x:c r="A116" s="13"/>
      <x:c r="B116" s="13"/>
      <x:c r="C116" s="13"/>
      <x:c r="D116" s="14"/>
      <x:c r="E116" s="16"/>
      <x:c r="F116" s="13"/>
      <x:c r="G116" s="13"/>
      <x:c r="H116" s="13"/>
    </x:row>
    <x:row r="117">
      <x:c r="A117" s="13"/>
      <x:c r="B117" s="13"/>
      <x:c r="C117" s="13"/>
      <x:c r="D117" s="14"/>
      <x:c r="E117" s="16"/>
      <x:c r="F117" s="13"/>
      <x:c r="G117" s="13"/>
      <x:c r="H117" s="13"/>
    </x:row>
    <x:row r="118">
      <x:c r="A118" s="13"/>
      <x:c r="B118" s="13"/>
      <x:c r="C118" s="13"/>
      <x:c r="D118" s="14"/>
      <x:c r="E118" s="16"/>
      <x:c r="F118" s="13"/>
      <x:c r="G118" s="13"/>
      <x:c r="H118" s="13"/>
    </x:row>
    <x:row r="119">
      <x:c r="A119" s="13"/>
      <x:c r="B119" s="13"/>
      <x:c r="C119" s="13"/>
      <x:c r="D119" s="14"/>
      <x:c r="E119" s="16"/>
      <x:c r="F119" s="13"/>
      <x:c r="G119" s="13"/>
      <x:c r="H119" s="13"/>
    </x:row>
    <x:row r="120">
      <x:c r="A120" s="13"/>
      <x:c r="B120" s="13"/>
      <x:c r="C120" s="13"/>
      <x:c r="D120" s="14"/>
      <x:c r="E120" s="16"/>
      <x:c r="F120" s="13"/>
      <x:c r="G120" s="13"/>
      <x:c r="H120" s="13"/>
    </x:row>
    <x:row r="121">
      <x:c r="A121" s="13"/>
      <x:c r="B121" s="13"/>
      <x:c r="C121" s="13"/>
      <x:c r="D121" s="14"/>
      <x:c r="E121" s="16"/>
      <x:c r="F121" s="13"/>
      <x:c r="G121" s="13"/>
      <x:c r="H121" s="13"/>
    </x:row>
    <x:row r="122">
      <x:c r="A122" s="13"/>
      <x:c r="B122" s="13"/>
      <x:c r="C122" s="13"/>
      <x:c r="D122" s="14"/>
      <x:c r="E122" s="16"/>
      <x:c r="F122" s="13"/>
      <x:c r="G122" s="13"/>
      <x:c r="H122" s="13"/>
    </x:row>
    <x:row r="123">
      <x:c r="A123" s="13"/>
      <x:c r="B123" s="13"/>
      <x:c r="C123" s="13"/>
      <x:c r="D123" s="14"/>
      <x:c r="E123" s="16"/>
      <x:c r="F123" s="13"/>
      <x:c r="G123" s="13"/>
      <x:c r="H123" s="13"/>
    </x:row>
    <x:row r="124">
      <x:c r="A124" s="13"/>
      <x:c r="B124" s="13"/>
      <x:c r="C124" s="13"/>
      <x:c r="D124" s="14"/>
      <x:c r="E124" s="16"/>
      <x:c r="F124" s="13"/>
      <x:c r="G124" s="13"/>
      <x:c r="H124" s="13"/>
    </x:row>
    <x:row r="125">
      <x:c r="A125" s="13"/>
      <x:c r="B125" s="13"/>
      <x:c r="C125" s="13"/>
      <x:c r="D125" s="14"/>
      <x:c r="E125" s="16"/>
      <x:c r="F125" s="13"/>
      <x:c r="G125" s="13"/>
      <x:c r="H125" s="13"/>
    </x:row>
    <x:row r="126">
      <x:c r="A126" s="13"/>
      <x:c r="B126" s="13"/>
      <x:c r="C126" s="13"/>
      <x:c r="D126" s="14"/>
      <x:c r="E126" s="16"/>
      <x:c r="F126" s="13"/>
      <x:c r="G126" s="13"/>
      <x:c r="H126" s="13"/>
    </x:row>
    <x:row r="127">
      <x:c r="A127" s="13"/>
      <x:c r="B127" s="13"/>
      <x:c r="C127" s="13"/>
      <x:c r="D127" s="14"/>
      <x:c r="E127" s="16"/>
      <x:c r="F127" s="13"/>
      <x:c r="G127" s="13"/>
      <x:c r="H127" s="13"/>
    </x:row>
    <x:row r="128">
      <x:c r="A128" s="13"/>
      <x:c r="B128" s="13"/>
      <x:c r="C128" s="13"/>
      <x:c r="D128" s="14"/>
      <x:c r="E128" s="16"/>
      <x:c r="F128" s="13"/>
      <x:c r="G128" s="13"/>
      <x:c r="H128" s="13"/>
    </x:row>
    <x:row r="129">
      <x:c r="A129" s="13"/>
      <x:c r="B129" s="13"/>
      <x:c r="C129" s="13"/>
      <x:c r="D129" s="14"/>
      <x:c r="E129" s="16"/>
      <x:c r="F129" s="13"/>
      <x:c r="G129" s="13"/>
      <x:c r="H129" s="13"/>
    </x:row>
    <x:row r="130">
      <x:c r="A130" s="13"/>
      <x:c r="B130" s="13"/>
      <x:c r="C130" s="13"/>
      <x:c r="D130" s="14"/>
      <x:c r="E130" s="16"/>
      <x:c r="F130" s="13"/>
      <x:c r="G130" s="13"/>
      <x:c r="H130" s="13"/>
    </x:row>
    <x:row r="131">
      <x:c r="A131" s="13"/>
      <x:c r="B131" s="13"/>
      <x:c r="C131" s="13"/>
      <x:c r="D131" s="14"/>
      <x:c r="E131" s="16"/>
      <x:c r="F131" s="13"/>
      <x:c r="G131" s="13"/>
      <x:c r="H131" s="13"/>
    </x:row>
    <x:row r="132">
      <x:c r="A132" s="13"/>
      <x:c r="B132" s="13"/>
      <x:c r="C132" s="13"/>
      <x:c r="D132" s="14"/>
      <x:c r="E132" s="16"/>
      <x:c r="F132" s="13"/>
      <x:c r="G132" s="13"/>
      <x:c r="H132" s="13"/>
    </x:row>
    <x:row r="133">
      <x:c r="A133" s="13"/>
      <x:c r="B133" s="13"/>
      <x:c r="C133" s="13"/>
      <x:c r="D133" s="14"/>
      <x:c r="E133" s="16"/>
      <x:c r="F133" s="13"/>
      <x:c r="G133" s="13"/>
      <x:c r="H133" s="13"/>
    </x:row>
    <x:row r="134">
      <x:c r="A134" s="13"/>
      <x:c r="B134" s="13"/>
      <x:c r="C134" s="13"/>
      <x:c r="D134" s="14"/>
      <x:c r="E134" s="16"/>
      <x:c r="F134" s="13"/>
      <x:c r="G134" s="13"/>
      <x:c r="H134" s="13"/>
    </x:row>
    <x:row r="135">
      <x:c r="A135" s="13"/>
      <x:c r="B135" s="13"/>
      <x:c r="C135" s="13"/>
      <x:c r="D135" s="14"/>
      <x:c r="E135" s="16"/>
      <x:c r="F135" s="13"/>
      <x:c r="G135" s="13"/>
      <x:c r="H135" s="13"/>
    </x:row>
    <x:row r="136">
      <x:c r="A136" s="13"/>
      <x:c r="B136" s="13"/>
      <x:c r="C136" s="13"/>
      <x:c r="D136" s="14"/>
      <x:c r="E136" s="16"/>
      <x:c r="F136" s="13"/>
      <x:c r="G136" s="13"/>
      <x:c r="H136" s="13"/>
    </x:row>
    <x:row r="137">
      <x:c r="A137" s="13"/>
      <x:c r="B137" s="13"/>
      <x:c r="C137" s="13"/>
      <x:c r="D137" s="14"/>
      <x:c r="E137" s="16"/>
      <x:c r="F137" s="13"/>
      <x:c r="G137" s="13"/>
      <x:c r="H137" s="13"/>
    </x:row>
    <x:row r="138">
      <x:c r="A138" s="13"/>
      <x:c r="B138" s="13"/>
      <x:c r="C138" s="13"/>
      <x:c r="D138" s="14"/>
      <x:c r="E138" s="16"/>
      <x:c r="F138" s="13"/>
      <x:c r="G138" s="13"/>
      <x:c r="H138" s="13"/>
    </x:row>
    <x:row r="139">
      <x:c r="A139" s="13"/>
      <x:c r="B139" s="13"/>
      <x:c r="C139" s="13"/>
      <x:c r="D139" s="14"/>
      <x:c r="E139" s="16"/>
      <x:c r="F139" s="13"/>
      <x:c r="G139" s="13"/>
      <x:c r="H139" s="13"/>
    </x:row>
    <x:row r="140">
      <x:c r="A140" s="13"/>
      <x:c r="B140" s="13"/>
      <x:c r="C140" s="13"/>
      <x:c r="D140" s="14"/>
      <x:c r="E140" s="16"/>
      <x:c r="F140" s="13"/>
      <x:c r="G140" s="13"/>
      <x:c r="H140" s="13"/>
    </x:row>
    <x:row r="141">
      <x:c r="A141" s="13"/>
      <x:c r="B141" s="13"/>
      <x:c r="C141" s="13"/>
      <x:c r="D141" s="14"/>
      <x:c r="E141" s="16"/>
      <x:c r="F141" s="13"/>
      <x:c r="G141" s="13"/>
      <x:c r="H141" s="13"/>
    </x:row>
    <x:row r="142">
      <x:c r="A142" s="13"/>
      <x:c r="B142" s="13"/>
      <x:c r="C142" s="13"/>
      <x:c r="D142" s="14"/>
      <x:c r="E142" s="16"/>
      <x:c r="F142" s="13"/>
      <x:c r="G142" s="13"/>
      <x:c r="H142" s="13"/>
    </x:row>
    <x:row r="143">
      <x:c r="A143" s="13"/>
      <x:c r="B143" s="13"/>
      <x:c r="C143" s="13"/>
      <x:c r="D143" s="14"/>
      <x:c r="E143" s="16"/>
      <x:c r="F143" s="13"/>
      <x:c r="G143" s="13"/>
      <x:c r="H143" s="13"/>
    </x:row>
    <x:row r="144">
      <x:c r="A144" s="13"/>
      <x:c r="B144" s="13"/>
      <x:c r="C144" s="13"/>
      <x:c r="D144" s="14"/>
      <x:c r="E144" s="16"/>
      <x:c r="F144" s="13"/>
      <x:c r="G144" s="13"/>
      <x:c r="H144" s="13"/>
    </x:row>
    <x:row r="145">
      <x:c r="A145" s="13"/>
      <x:c r="B145" s="13"/>
      <x:c r="C145" s="13"/>
      <x:c r="D145" s="14"/>
      <x:c r="E145" s="16"/>
      <x:c r="F145" s="13"/>
      <x:c r="G145" s="13"/>
      <x:c r="H145" s="13"/>
    </x:row>
    <x:row r="146">
      <x:c r="A146" s="13"/>
      <x:c r="B146" s="13"/>
      <x:c r="C146" s="13"/>
      <x:c r="D146" s="14"/>
      <x:c r="E146" s="16"/>
      <x:c r="F146" s="13"/>
      <x:c r="G146" s="13"/>
      <x:c r="H146" s="13"/>
    </x:row>
    <x:row r="147">
      <x:c r="A147" s="13"/>
      <x:c r="B147" s="13"/>
      <x:c r="C147" s="13"/>
      <x:c r="D147" s="14"/>
      <x:c r="E147" s="16"/>
      <x:c r="F147" s="13"/>
      <x:c r="G147" s="13"/>
      <x:c r="H147" s="13"/>
    </x:row>
    <x:row r="148">
      <x:c r="A148" s="13"/>
      <x:c r="B148" s="13"/>
      <x:c r="C148" s="13"/>
      <x:c r="D148" s="14"/>
      <x:c r="E148" s="16"/>
      <x:c r="F148" s="13"/>
      <x:c r="G148" s="13"/>
      <x:c r="H148" s="13"/>
    </x:row>
    <x:row r="149">
      <x:c r="A149" s="13"/>
      <x:c r="B149" s="13"/>
      <x:c r="C149" s="13"/>
      <x:c r="D149" s="14"/>
      <x:c r="E149" s="16"/>
      <x:c r="F149" s="13"/>
      <x:c r="G149" s="13"/>
      <x:c r="H149" s="13"/>
    </x:row>
    <x:row r="150">
      <x:c r="A150" s="13"/>
      <x:c r="B150" s="13"/>
      <x:c r="C150" s="13"/>
      <x:c r="D150" s="14"/>
      <x:c r="E150" s="16"/>
      <x:c r="F150" s="13"/>
      <x:c r="G150" s="13"/>
      <x:c r="H150" s="13"/>
    </x:row>
    <x:row r="151">
      <x:c r="A151" s="13"/>
      <x:c r="B151" s="13"/>
      <x:c r="C151" s="13"/>
      <x:c r="D151" s="14"/>
      <x:c r="E151" s="16"/>
      <x:c r="F151" s="13"/>
      <x:c r="G151" s="13"/>
      <x:c r="H151" s="13"/>
    </x:row>
    <x:row r="152">
      <x:c r="A152" s="13"/>
      <x:c r="B152" s="13"/>
      <x:c r="C152" s="13"/>
      <x:c r="D152" s="14"/>
      <x:c r="E152" s="16"/>
      <x:c r="F152" s="13"/>
      <x:c r="G152" s="13"/>
      <x:c r="H152" s="13"/>
    </x:row>
    <x:row r="153">
      <x:c r="A153" s="13"/>
      <x:c r="B153" s="13"/>
      <x:c r="C153" s="13"/>
      <x:c r="D153" s="14"/>
      <x:c r="E153" s="16"/>
      <x:c r="F153" s="13"/>
      <x:c r="G153" s="13"/>
      <x:c r="H153" s="13"/>
    </x:row>
    <x:row r="154">
      <x:c r="A154" s="13"/>
      <x:c r="B154" s="13"/>
      <x:c r="C154" s="13"/>
      <x:c r="D154" s="14"/>
      <x:c r="E154" s="16"/>
      <x:c r="F154" s="13"/>
      <x:c r="G154" s="13"/>
      <x:c r="H154" s="13"/>
    </x:row>
    <x:row r="155">
      <x:c r="A155" s="13"/>
      <x:c r="B155" s="13"/>
      <x:c r="C155" s="13"/>
      <x:c r="D155" s="14"/>
      <x:c r="E155" s="16"/>
      <x:c r="F155" s="13"/>
      <x:c r="G155" s="13"/>
      <x:c r="H155" s="13"/>
    </x:row>
    <x:row r="156">
      <x:c r="A156" s="13"/>
      <x:c r="B156" s="13"/>
      <x:c r="C156" s="13"/>
      <x:c r="D156" s="14"/>
      <x:c r="E156" s="16"/>
      <x:c r="F156" s="13"/>
      <x:c r="G156" s="13"/>
      <x:c r="H156" s="13"/>
    </x:row>
    <x:row r="157">
      <x:c r="A157" s="13"/>
      <x:c r="B157" s="13"/>
      <x:c r="C157" s="13"/>
      <x:c r="D157" s="14"/>
      <x:c r="E157" s="16"/>
      <x:c r="F157" s="13"/>
      <x:c r="G157" s="13"/>
      <x:c r="H157" s="13"/>
    </x:row>
    <x:row r="158">
      <x:c r="A158" s="13"/>
      <x:c r="B158" s="13"/>
      <x:c r="C158" s="13"/>
      <x:c r="D158" s="14"/>
      <x:c r="E158" s="16"/>
      <x:c r="F158" s="13"/>
      <x:c r="G158" s="13"/>
      <x:c r="H158" s="13"/>
    </x:row>
    <x:row r="159">
      <x:c r="A159" s="13"/>
      <x:c r="B159" s="13"/>
      <x:c r="C159" s="13"/>
      <x:c r="D159" s="14"/>
      <x:c r="E159" s="16"/>
      <x:c r="F159" s="13"/>
      <x:c r="G159" s="13"/>
      <x:c r="H159" s="13"/>
    </x:row>
    <x:row r="160">
      <x:c r="A160" s="13"/>
      <x:c r="B160" s="13"/>
      <x:c r="C160" s="13"/>
      <x:c r="D160" s="14"/>
      <x:c r="E160" s="16"/>
      <x:c r="F160" s="13"/>
      <x:c r="G160" s="13"/>
      <x:c r="H160" s="13"/>
    </x:row>
    <x:row r="161">
      <x:c r="A161" s="13"/>
      <x:c r="B161" s="13"/>
      <x:c r="C161" s="13"/>
      <x:c r="D161" s="14"/>
      <x:c r="E161" s="16"/>
      <x:c r="F161" s="13"/>
      <x:c r="G161" s="13"/>
      <x:c r="H161" s="13"/>
    </x:row>
    <x:row r="162">
      <x:c r="A162" s="13"/>
      <x:c r="B162" s="13"/>
      <x:c r="C162" s="13"/>
      <x:c r="D162" s="14"/>
      <x:c r="E162" s="16"/>
      <x:c r="F162" s="13"/>
      <x:c r="G162" s="13"/>
      <x:c r="H162" s="13"/>
    </x:row>
    <x:row r="163">
      <x:c r="A163" s="13"/>
      <x:c r="B163" s="13"/>
      <x:c r="C163" s="13"/>
      <x:c r="D163" s="14"/>
      <x:c r="E163" s="16"/>
      <x:c r="F163" s="13"/>
      <x:c r="G163" s="13"/>
      <x:c r="H163" s="13"/>
    </x:row>
    <x:row r="164">
      <x:c r="A164" s="13"/>
      <x:c r="B164" s="13"/>
      <x:c r="C164" s="13"/>
      <x:c r="D164" s="14"/>
      <x:c r="E164" s="16"/>
      <x:c r="F164" s="13"/>
      <x:c r="G164" s="13"/>
      <x:c r="H164" s="13"/>
    </x:row>
    <x:row r="165">
      <x:c r="A165" s="13"/>
      <x:c r="B165" s="13"/>
      <x:c r="C165" s="13"/>
      <x:c r="D165" s="14"/>
      <x:c r="E165" s="16"/>
      <x:c r="F165" s="13"/>
      <x:c r="G165" s="13"/>
      <x:c r="H165" s="13"/>
    </x:row>
    <x:row r="166">
      <x:c r="A166" s="13"/>
      <x:c r="B166" s="13"/>
      <x:c r="C166" s="13"/>
      <x:c r="D166" s="14"/>
      <x:c r="E166" s="16"/>
      <x:c r="F166" s="13"/>
      <x:c r="G166" s="13"/>
      <x:c r="H166" s="13"/>
    </x:row>
    <x:row r="167">
      <x:c r="A167" s="13"/>
      <x:c r="B167" s="13"/>
      <x:c r="C167" s="13"/>
      <x:c r="D167" s="14"/>
      <x:c r="E167" s="16"/>
      <x:c r="F167" s="13"/>
      <x:c r="G167" s="13"/>
      <x:c r="H167" s="13"/>
    </x:row>
    <x:row r="168">
      <x:c r="A168" s="13"/>
      <x:c r="B168" s="13"/>
      <x:c r="C168" s="13"/>
      <x:c r="D168" s="14"/>
      <x:c r="E168" s="16"/>
      <x:c r="F168" s="13"/>
      <x:c r="G168" s="13"/>
      <x:c r="H168" s="13"/>
    </x:row>
    <x:row r="169">
      <x:c r="A169" s="13"/>
      <x:c r="B169" s="13"/>
      <x:c r="C169" s="13"/>
      <x:c r="D169" s="14"/>
      <x:c r="E169" s="16"/>
      <x:c r="F169" s="13"/>
      <x:c r="G169" s="13"/>
      <x:c r="H169" s="13"/>
    </x:row>
    <x:row r="170">
      <x:c r="A170" s="13"/>
      <x:c r="B170" s="13"/>
      <x:c r="C170" s="13"/>
      <x:c r="D170" s="14"/>
      <x:c r="E170" s="16"/>
      <x:c r="F170" s="13"/>
      <x:c r="G170" s="13"/>
      <x:c r="H170" s="13"/>
    </x:row>
    <x:row r="171">
      <x:c r="A171" s="13"/>
      <x:c r="B171" s="13"/>
      <x:c r="C171" s="13"/>
      <x:c r="D171" s="14"/>
      <x:c r="E171" s="16"/>
      <x:c r="F171" s="13"/>
      <x:c r="G171" s="13"/>
      <x:c r="H171" s="13"/>
    </x:row>
    <x:row r="172">
      <x:c r="A172" s="13"/>
      <x:c r="B172" s="13"/>
      <x:c r="C172" s="13"/>
      <x:c r="D172" s="14"/>
      <x:c r="E172" s="16"/>
      <x:c r="F172" s="13"/>
      <x:c r="G172" s="13"/>
      <x:c r="H172" s="13"/>
    </x:row>
    <x:row r="173">
      <x:c r="A173" s="13"/>
      <x:c r="B173" s="13"/>
      <x:c r="C173" s="13"/>
      <x:c r="D173" s="14"/>
      <x:c r="E173" s="16"/>
      <x:c r="F173" s="13"/>
      <x:c r="G173" s="13"/>
      <x:c r="H173" s="13"/>
    </x:row>
    <x:row r="174">
      <x:c r="A174" s="13"/>
      <x:c r="B174" s="13"/>
      <x:c r="C174" s="13"/>
      <x:c r="D174" s="14"/>
      <x:c r="E174" s="16"/>
      <x:c r="F174" s="13"/>
      <x:c r="G174" s="13"/>
      <x:c r="H174" s="13"/>
    </x:row>
    <x:row r="175">
      <x:c r="A175" s="13"/>
      <x:c r="B175" s="13"/>
      <x:c r="C175" s="13"/>
      <x:c r="D175" s="14"/>
      <x:c r="E175" s="16"/>
      <x:c r="F175" s="13"/>
      <x:c r="G175" s="13"/>
      <x:c r="H175" s="13"/>
    </x:row>
    <x:row r="176">
      <x:c r="A176" s="13"/>
      <x:c r="B176" s="13"/>
      <x:c r="C176" s="13"/>
      <x:c r="D176" s="14"/>
      <x:c r="E176" s="16"/>
      <x:c r="F176" s="13"/>
      <x:c r="G176" s="13"/>
      <x:c r="H176" s="13"/>
    </x:row>
    <x:row r="177">
      <x:c r="A177" s="13"/>
      <x:c r="B177" s="13"/>
      <x:c r="C177" s="13"/>
      <x:c r="D177" s="14"/>
      <x:c r="E177" s="16"/>
      <x:c r="F177" s="13"/>
      <x:c r="G177" s="13"/>
      <x:c r="H177" s="13"/>
    </x:row>
    <x:row r="178">
      <x:c r="A178" s="13"/>
      <x:c r="B178" s="13"/>
      <x:c r="C178" s="13"/>
      <x:c r="D178" s="14"/>
      <x:c r="E178" s="16"/>
      <x:c r="F178" s="13"/>
      <x:c r="G178" s="13"/>
      <x:c r="H178" s="13"/>
    </x:row>
    <x:row r="179">
      <x:c r="A179" s="13"/>
      <x:c r="B179" s="13"/>
      <x:c r="C179" s="13"/>
      <x:c r="D179" s="14"/>
      <x:c r="E179" s="16"/>
      <x:c r="F179" s="13"/>
      <x:c r="G179" s="13"/>
      <x:c r="H179" s="13"/>
    </x:row>
    <x:row r="180">
      <x:c r="A180" s="13"/>
      <x:c r="B180" s="13"/>
      <x:c r="C180" s="13"/>
      <x:c r="D180" s="14"/>
      <x:c r="E180" s="16"/>
      <x:c r="F180" s="13"/>
      <x:c r="G180" s="13"/>
      <x:c r="H180" s="13"/>
    </x:row>
    <x:row r="181">
      <x:c r="A181" s="13"/>
      <x:c r="B181" s="13"/>
      <x:c r="C181" s="13"/>
      <x:c r="D181" s="14"/>
      <x:c r="E181" s="16"/>
      <x:c r="F181" s="13"/>
      <x:c r="G181" s="13"/>
      <x:c r="H181" s="13"/>
    </x:row>
    <x:row r="182">
      <x:c r="A182" s="13"/>
      <x:c r="B182" s="13"/>
      <x:c r="C182" s="13"/>
      <x:c r="D182" s="14"/>
      <x:c r="E182" s="16"/>
      <x:c r="F182" s="13"/>
      <x:c r="G182" s="13"/>
      <x:c r="H182" s="13"/>
    </x:row>
    <x:row r="183">
      <x:c r="A183" s="13"/>
      <x:c r="B183" s="13"/>
      <x:c r="C183" s="13"/>
      <x:c r="D183" s="14"/>
      <x:c r="E183" s="16"/>
      <x:c r="F183" s="13"/>
      <x:c r="G183" s="13"/>
      <x:c r="H183" s="13"/>
    </x:row>
    <x:row r="184">
      <x:c r="A184" s="13"/>
      <x:c r="B184" s="13"/>
      <x:c r="C184" s="13"/>
      <x:c r="D184" s="14"/>
      <x:c r="E184" s="16"/>
      <x:c r="F184" s="13"/>
      <x:c r="G184" s="13"/>
      <x:c r="H184" s="13"/>
    </x:row>
    <x:row r="185">
      <x:c r="A185" s="13"/>
      <x:c r="B185" s="13"/>
      <x:c r="C185" s="13"/>
      <x:c r="D185" s="14"/>
      <x:c r="E185" s="16"/>
      <x:c r="F185" s="13"/>
      <x:c r="G185" s="13"/>
      <x:c r="H185" s="13"/>
    </x:row>
    <x:row r="186">
      <x:c r="A186" s="13"/>
      <x:c r="B186" s="13"/>
      <x:c r="C186" s="13"/>
      <x:c r="D186" s="14"/>
      <x:c r="E186" s="16"/>
      <x:c r="F186" s="13"/>
      <x:c r="G186" s="13"/>
      <x:c r="H186" s="13"/>
    </x:row>
    <x:row r="187">
      <x:c r="A187" s="13"/>
      <x:c r="B187" s="13"/>
      <x:c r="C187" s="13"/>
      <x:c r="D187" s="14"/>
      <x:c r="E187" s="16"/>
      <x:c r="F187" s="13"/>
      <x:c r="G187" s="13"/>
      <x:c r="H187" s="13"/>
    </x:row>
    <x:row r="188">
      <x:c r="A188" s="13"/>
      <x:c r="B188" s="13"/>
      <x:c r="C188" s="13"/>
      <x:c r="D188" s="14"/>
      <x:c r="E188" s="16"/>
      <x:c r="F188" s="13"/>
      <x:c r="G188" s="13"/>
      <x:c r="H188" s="13"/>
    </x:row>
    <x:row r="189">
      <x:c r="A189" s="13"/>
      <x:c r="B189" s="13"/>
      <x:c r="C189" s="13"/>
      <x:c r="D189" s="14"/>
      <x:c r="E189" s="16"/>
      <x:c r="F189" s="13"/>
      <x:c r="G189" s="13"/>
      <x:c r="H189" s="13"/>
    </x:row>
    <x:row r="190">
      <x:c r="A190" s="13"/>
      <x:c r="B190" s="13"/>
      <x:c r="C190" s="13"/>
      <x:c r="D190" s="14"/>
      <x:c r="E190" s="16"/>
      <x:c r="F190" s="13"/>
      <x:c r="G190" s="13"/>
      <x:c r="H190" s="13"/>
    </x:row>
    <x:row r="191">
      <x:c r="A191" s="13"/>
      <x:c r="B191" s="13"/>
      <x:c r="C191" s="13"/>
      <x:c r="D191" s="14"/>
      <x:c r="E191" s="16"/>
      <x:c r="F191" s="13"/>
      <x:c r="G191" s="13"/>
      <x:c r="H191" s="13"/>
    </x:row>
    <x:row r="192">
      <x:c r="A192" s="13"/>
      <x:c r="B192" s="13"/>
      <x:c r="C192" s="13"/>
      <x:c r="D192" s="14"/>
      <x:c r="E192" s="16"/>
      <x:c r="F192" s="13"/>
      <x:c r="G192" s="13"/>
      <x:c r="H192" s="13"/>
    </x:row>
    <x:row r="193">
      <x:c r="A193" s="13"/>
      <x:c r="B193" s="13"/>
      <x:c r="C193" s="13"/>
      <x:c r="D193" s="14"/>
      <x:c r="E193" s="16"/>
      <x:c r="F193" s="13"/>
      <x:c r="G193" s="13"/>
      <x:c r="H193" s="13"/>
    </x:row>
    <x:row r="194">
      <x:c r="A194" s="13"/>
      <x:c r="B194" s="13"/>
      <x:c r="C194" s="13"/>
      <x:c r="D194" s="14"/>
      <x:c r="E194" s="16"/>
      <x:c r="F194" s="13"/>
      <x:c r="G194" s="13"/>
      <x:c r="H194" s="13"/>
    </x:row>
    <x:row r="195">
      <x:c r="A195" s="13"/>
      <x:c r="B195" s="13"/>
      <x:c r="C195" s="13"/>
      <x:c r="D195" s="14"/>
      <x:c r="E195" s="16"/>
      <x:c r="F195" s="13"/>
      <x:c r="G195" s="13"/>
      <x:c r="H195" s="13"/>
    </x:row>
    <x:row r="196">
      <x:c r="A196" s="13"/>
      <x:c r="B196" s="13"/>
      <x:c r="C196" s="13"/>
      <x:c r="D196" s="14"/>
      <x:c r="E196" s="16"/>
      <x:c r="F196" s="13"/>
      <x:c r="G196" s="13"/>
      <x:c r="H196" s="13"/>
    </x:row>
    <x:row r="197">
      <x:c r="A197" s="13"/>
      <x:c r="B197" s="13"/>
      <x:c r="C197" s="13"/>
      <x:c r="D197" s="14"/>
      <x:c r="E197" s="16"/>
      <x:c r="F197" s="13"/>
      <x:c r="G197" s="13"/>
      <x:c r="H197" s="13"/>
    </x:row>
    <x:row r="198">
      <x:c r="A198" s="13"/>
      <x:c r="B198" s="13"/>
      <x:c r="C198" s="13"/>
      <x:c r="D198" s="14"/>
      <x:c r="E198" s="16"/>
      <x:c r="F198" s="13"/>
      <x:c r="G198" s="13"/>
      <x:c r="H198" s="13"/>
    </x:row>
    <x:row r="199">
      <x:c r="A199" s="13"/>
      <x:c r="B199" s="13"/>
      <x:c r="C199" s="13"/>
      <x:c r="D199" s="14"/>
      <x:c r="E199" s="16"/>
      <x:c r="F199" s="13"/>
      <x:c r="G199" s="13"/>
      <x:c r="H199" s="13"/>
    </x:row>
    <x:row r="200">
      <x:c r="A200" s="13"/>
      <x:c r="B200" s="13"/>
      <x:c r="C200" s="13"/>
      <x:c r="D200" s="14"/>
      <x:c r="E200" s="16"/>
      <x:c r="F200" s="13"/>
      <x:c r="G200" s="13"/>
      <x:c r="H200" s="13"/>
    </x:row>
    <x:row r="201">
      <x:c r="A201" s="13"/>
      <x:c r="B201" s="13"/>
      <x:c r="C201" s="13"/>
      <x:c r="D201" s="14"/>
      <x:c r="E201" s="16"/>
      <x:c r="F201" s="13"/>
      <x:c r="G201" s="13"/>
      <x:c r="H201" s="13"/>
    </x:row>
    <x:row r="202">
      <x:c r="A202" s="13"/>
      <x:c r="B202" s="13"/>
      <x:c r="C202" s="13"/>
      <x:c r="D202" s="14"/>
      <x:c r="E202" s="16"/>
      <x:c r="F202" s="13"/>
      <x:c r="G202" s="13"/>
      <x:c r="H202" s="13"/>
    </x:row>
    <x:row r="203">
      <x:c r="A203" s="13"/>
      <x:c r="B203" s="13"/>
      <x:c r="C203" s="13"/>
      <x:c r="D203" s="14"/>
      <x:c r="E203" s="16"/>
      <x:c r="F203" s="13"/>
      <x:c r="G203" s="13"/>
      <x:c r="H203" s="13"/>
    </x:row>
    <x:row r="204">
      <x:c r="A204" s="13"/>
      <x:c r="B204" s="13"/>
      <x:c r="C204" s="13"/>
      <x:c r="D204" s="14"/>
      <x:c r="E204" s="16"/>
      <x:c r="F204" s="13"/>
      <x:c r="G204" s="13"/>
      <x:c r="H204" s="13"/>
    </x:row>
    <x:row r="205">
      <x:c r="A205" s="13"/>
      <x:c r="B205" s="13"/>
      <x:c r="C205" s="13"/>
      <x:c r="D205" s="14"/>
      <x:c r="E205" s="16"/>
      <x:c r="F205" s="13"/>
      <x:c r="G205" s="13"/>
      <x:c r="H205" s="13"/>
    </x:row>
  </x:sheetData>
  <x:mergeCells>
    <x:mergeCell ref="A1:H2"/>
  </x:mergeCells>
  <x:dataValidations count="1">
    <x:dataValidation type="list" sqref="C5:C205">
      <x:formula1>"active,inactive"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6" customHeight="1">
      <x:c r="A1" s="4" t="str">
        <x:v>حضور و غیاب | ورود و خروج را وارد کنید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4">
      <x:c r="A4" s="8" t="str">
        <x:v>تاریخ</x:v>
      </x:c>
      <x:c r="B4" s="8" t="str">
        <x:v>کد پرسنلی</x:v>
      </x:c>
      <x:c r="C4" s="8" t="str">
        <x:v>ورود</x:v>
      </x:c>
      <x:c r="D4" s="8" t="str">
        <x:v>خروج</x:v>
      </x:c>
      <x:c r="E4" s="8" t="str">
        <x:v>استراحت (ساعت)</x:v>
      </x:c>
      <x:c r="F4" s="8" t="str">
        <x:v>نوع مرخصی</x:v>
      </x:c>
      <x:c r="G4" s="8" t="str">
        <x:v>مرخصی (ساعت)</x:v>
      </x:c>
      <x:c r="H4" s="8" t="str">
        <x:v>ساعت برنامه</x:v>
      </x:c>
      <x:c r="I4" s="8" t="str">
        <x:v>ساعت واقعی</x:v>
      </x:c>
      <x:c r="J4" s="8" t="str">
        <x:v>ساعت عادی</x:v>
      </x:c>
      <x:c r="K4" s="8" t="str">
        <x:v>اضافه‌کاری</x:v>
      </x:c>
      <x:c r="L4" s="8" t="str">
        <x:v>مرخصی بدون حقوق</x:v>
      </x:c>
      <x:c r="M4" s="8" t="str">
        <x:v>وضعیت</x:v>
      </x:c>
    </x:row>
    <x:row r="5">
      <x:c r="A5" s="14" t="n">
        <x:v>46266</x:v>
      </x:c>
      <x:c r="B5" s="13" t="str">
        <x:v>EMP-001</x:v>
      </x:c>
      <x:c r="C5" s="18" t="n">
        <x:v>0.3333333333333333</x:v>
      </x:c>
      <x:c r="D5" s="18" t="n">
        <x:v>0.7083333333333334</x:v>
      </x:c>
      <x:c r="E5" s="19" t="n">
        <x:v>1</x:v>
      </x:c>
      <x:c r="F5" s="19" t="str"/>
      <x:c r="G5" s="19" t="n">
        <x:v>0</x:v>
      </x:c>
      <x:c r="H5" s="19" t="n">
        <x:v>8</x:v>
      </x:c>
      <x:c r="I5" s="20" t="n">
        <x:f>IF(OR(C5="",D5=""),0,MAX(0,(D5-C5)*24-E5))</x:f>
        <x:v>8.000000000000002</x:v>
      </x:c>
      <x:c r="J5" s="20" t="n">
        <x:f>MIN(I5,H5)</x:f>
        <x:v>8</x:v>
      </x:c>
      <x:c r="K5" s="20" t="n">
        <x:f>MAX(0,I5-H5)</x:f>
        <x:v>1.7763568394002505e-15</x:v>
      </x:c>
      <x:c r="L5" s="20" t="n">
        <x:f>IF(F5="Unpaid",G5,0)</x:f>
        <x:v>0</x:v>
      </x:c>
      <x:c r="M5" s="17" t="str">
        <x:f>IF(B5="","",IF(F5="Paid","مرخصی با حقوق",IF(F5="Unpaid","مرخصی بدون حقوق",IF(K5&gt;0,"اضافه‌کاری","عادی"))))</x:f>
        <x:v>عادی</x:v>
      </x:c>
    </x:row>
    <x:row r="6">
      <x:c r="A6" s="14"/>
      <x:c r="B6" s="13"/>
      <x:c r="C6" s="18"/>
      <x:c r="D6" s="18"/>
      <x:c r="E6" s="19"/>
      <x:c r="F6" s="19"/>
      <x:c r="G6" s="19"/>
      <x:c r="H6" s="19"/>
      <x:c r="I6" s="20" t="n">
        <x:f>IF(OR(C6="",D6=""),0,MAX(0,(D6-C6)*24-E6))</x:f>
        <x:v>0</x:v>
      </x:c>
      <x:c r="J6" s="20" t="n">
        <x:f>MIN(I6,H6)</x:f>
        <x:v>0</x:v>
      </x:c>
      <x:c r="K6" s="20" t="n">
        <x:f>MAX(0,I6-H6)</x:f>
        <x:v>0</x:v>
      </x:c>
      <x:c r="L6" s="20" t="n">
        <x:f>IF(F6="Unpaid",G6,0)</x:f>
        <x:v>0</x:v>
      </x:c>
      <x:c r="M6" s="17" t="str">
        <x:f>IF(B6="","",IF(F6="Paid","مرخصی با حقوق",IF(F6="Unpaid","مرخصی بدون حقوق",IF(K6&gt;0,"اضافه‌کاری","عادی"))))</x:f>
      </x:c>
    </x:row>
    <x:row r="7">
      <x:c r="A7" s="14"/>
      <x:c r="B7" s="13"/>
      <x:c r="C7" s="18"/>
      <x:c r="D7" s="18"/>
      <x:c r="E7" s="19"/>
      <x:c r="F7" s="19"/>
      <x:c r="G7" s="19"/>
      <x:c r="H7" s="19"/>
      <x:c r="I7" s="20" t="n">
        <x:f>IF(OR(C7="",D7=""),0,MAX(0,(D7-C7)*24-E7))</x:f>
        <x:v>0</x:v>
      </x:c>
      <x:c r="J7" s="20" t="n">
        <x:f>MIN(I7,H7)</x:f>
        <x:v>0</x:v>
      </x:c>
      <x:c r="K7" s="20" t="n">
        <x:f>MAX(0,I7-H7)</x:f>
        <x:v>0</x:v>
      </x:c>
      <x:c r="L7" s="20" t="n">
        <x:f>IF(F7="Unpaid",G7,0)</x:f>
        <x:v>0</x:v>
      </x:c>
      <x:c r="M7" s="17" t="str">
        <x:f>IF(B7="","",IF(F7="Paid","مرخصی با حقوق",IF(F7="Unpaid","مرخصی بدون حقوق",IF(K7&gt;0,"اضافه‌کاری","عادی"))))</x:f>
      </x:c>
    </x:row>
    <x:row r="8">
      <x:c r="A8" s="14"/>
      <x:c r="B8" s="13"/>
      <x:c r="C8" s="18"/>
      <x:c r="D8" s="18"/>
      <x:c r="E8" s="19"/>
      <x:c r="F8" s="19"/>
      <x:c r="G8" s="19"/>
      <x:c r="H8" s="19"/>
      <x:c r="I8" s="20" t="n">
        <x:f>IF(OR(C8="",D8=""),0,MAX(0,(D8-C8)*24-E8))</x:f>
        <x:v>0</x:v>
      </x:c>
      <x:c r="J8" s="20" t="n">
        <x:f>MIN(I8,H8)</x:f>
        <x:v>0</x:v>
      </x:c>
      <x:c r="K8" s="20" t="n">
        <x:f>MAX(0,I8-H8)</x:f>
        <x:v>0</x:v>
      </x:c>
      <x:c r="L8" s="20" t="n">
        <x:f>IF(F8="Unpaid",G8,0)</x:f>
        <x:v>0</x:v>
      </x:c>
      <x:c r="M8" s="17" t="str">
        <x:f>IF(B8="","",IF(F8="Paid","مرخصی با حقوق",IF(F8="Unpaid","مرخصی بدون حقوق",IF(K8&gt;0,"اضافه‌کاری","عادی"))))</x:f>
      </x:c>
    </x:row>
    <x:row r="9">
      <x:c r="A9" s="14"/>
      <x:c r="B9" s="13"/>
      <x:c r="C9" s="18"/>
      <x:c r="D9" s="18"/>
      <x:c r="E9" s="19"/>
      <x:c r="F9" s="19"/>
      <x:c r="G9" s="19"/>
      <x:c r="H9" s="19"/>
      <x:c r="I9" s="20" t="n">
        <x:f>IF(OR(C9="",D9=""),0,MAX(0,(D9-C9)*24-E9))</x:f>
        <x:v>0</x:v>
      </x:c>
      <x:c r="J9" s="20" t="n">
        <x:f>MIN(I9,H9)</x:f>
        <x:v>0</x:v>
      </x:c>
      <x:c r="K9" s="20" t="n">
        <x:f>MAX(0,I9-H9)</x:f>
        <x:v>0</x:v>
      </x:c>
      <x:c r="L9" s="20" t="n">
        <x:f>IF(F9="Unpaid",G9,0)</x:f>
        <x:v>0</x:v>
      </x:c>
      <x:c r="M9" s="17" t="str">
        <x:f>IF(B9="","",IF(F9="Paid","مرخصی با حقوق",IF(F9="Unpaid","مرخصی بدون حقوق",IF(K9&gt;0,"اضافه‌کاری","عادی"))))</x:f>
      </x:c>
    </x:row>
    <x:row r="10">
      <x:c r="A10" s="14"/>
      <x:c r="B10" s="13"/>
      <x:c r="C10" s="18"/>
      <x:c r="D10" s="18"/>
      <x:c r="E10" s="19"/>
      <x:c r="F10" s="19"/>
      <x:c r="G10" s="19"/>
      <x:c r="H10" s="19"/>
      <x:c r="I10" s="20" t="n">
        <x:f>IF(OR(C10="",D10=""),0,MAX(0,(D10-C10)*24-E10))</x:f>
        <x:v>0</x:v>
      </x:c>
      <x:c r="J10" s="20" t="n">
        <x:f>MIN(I10,H10)</x:f>
        <x:v>0</x:v>
      </x:c>
      <x:c r="K10" s="20" t="n">
        <x:f>MAX(0,I10-H10)</x:f>
        <x:v>0</x:v>
      </x:c>
      <x:c r="L10" s="20" t="n">
        <x:f>IF(F10="Unpaid",G10,0)</x:f>
        <x:v>0</x:v>
      </x:c>
      <x:c r="M10" s="17" t="str">
        <x:f>IF(B10="","",IF(F10="Paid","مرخصی با حقوق",IF(F10="Unpaid","مرخصی بدون حقوق",IF(K10&gt;0,"اضافه‌کاری","عادی"))))</x:f>
      </x:c>
    </x:row>
    <x:row r="11">
      <x:c r="A11" s="14"/>
      <x:c r="B11" s="13"/>
      <x:c r="C11" s="18"/>
      <x:c r="D11" s="18"/>
      <x:c r="E11" s="19"/>
      <x:c r="F11" s="19"/>
      <x:c r="G11" s="19"/>
      <x:c r="H11" s="19"/>
      <x:c r="I11" s="20" t="n">
        <x:f>IF(OR(C11="",D11=""),0,MAX(0,(D11-C11)*24-E11))</x:f>
        <x:v>0</x:v>
      </x:c>
      <x:c r="J11" s="20" t="n">
        <x:f>MIN(I11,H11)</x:f>
        <x:v>0</x:v>
      </x:c>
      <x:c r="K11" s="20" t="n">
        <x:f>MAX(0,I11-H11)</x:f>
        <x:v>0</x:v>
      </x:c>
      <x:c r="L11" s="20" t="n">
        <x:f>IF(F11="Unpaid",G11,0)</x:f>
        <x:v>0</x:v>
      </x:c>
      <x:c r="M11" s="17" t="str">
        <x:f>IF(B11="","",IF(F11="Paid","مرخصی با حقوق",IF(F11="Unpaid","مرخصی بدون حقوق",IF(K11&gt;0,"اضافه‌کاری","عادی"))))</x:f>
      </x:c>
    </x:row>
    <x:row r="12">
      <x:c r="A12" s="14"/>
      <x:c r="B12" s="13"/>
      <x:c r="C12" s="18"/>
      <x:c r="D12" s="18"/>
      <x:c r="E12" s="19"/>
      <x:c r="F12" s="19"/>
      <x:c r="G12" s="19"/>
      <x:c r="H12" s="19"/>
      <x:c r="I12" s="20" t="n">
        <x:f>IF(OR(C12="",D12=""),0,MAX(0,(D12-C12)*24-E12))</x:f>
        <x:v>0</x:v>
      </x:c>
      <x:c r="J12" s="20" t="n">
        <x:f>MIN(I12,H12)</x:f>
        <x:v>0</x:v>
      </x:c>
      <x:c r="K12" s="20" t="n">
        <x:f>MAX(0,I12-H12)</x:f>
        <x:v>0</x:v>
      </x:c>
      <x:c r="L12" s="20" t="n">
        <x:f>IF(F12="Unpaid",G12,0)</x:f>
        <x:v>0</x:v>
      </x:c>
      <x:c r="M12" s="17" t="str">
        <x:f>IF(B12="","",IF(F12="Paid","مرخصی با حقوق",IF(F12="Unpaid","مرخصی بدون حقوق",IF(K12&gt;0,"اضافه‌کاری","عادی"))))</x:f>
      </x:c>
    </x:row>
    <x:row r="13">
      <x:c r="A13" s="14"/>
      <x:c r="B13" s="13"/>
      <x:c r="C13" s="18"/>
      <x:c r="D13" s="18"/>
      <x:c r="E13" s="19"/>
      <x:c r="F13" s="19"/>
      <x:c r="G13" s="19"/>
      <x:c r="H13" s="19"/>
      <x:c r="I13" s="20" t="n">
        <x:f>IF(OR(C13="",D13=""),0,MAX(0,(D13-C13)*24-E13))</x:f>
        <x:v>0</x:v>
      </x:c>
      <x:c r="J13" s="20" t="n">
        <x:f>MIN(I13,H13)</x:f>
        <x:v>0</x:v>
      </x:c>
      <x:c r="K13" s="20" t="n">
        <x:f>MAX(0,I13-H13)</x:f>
        <x:v>0</x:v>
      </x:c>
      <x:c r="L13" s="20" t="n">
        <x:f>IF(F13="Unpaid",G13,0)</x:f>
        <x:v>0</x:v>
      </x:c>
      <x:c r="M13" s="17" t="str">
        <x:f>IF(B13="","",IF(F13="Paid","مرخصی با حقوق",IF(F13="Unpaid","مرخصی بدون حقوق",IF(K13&gt;0,"اضافه‌کاری","عادی"))))</x:f>
      </x:c>
    </x:row>
    <x:row r="14">
      <x:c r="A14" s="14"/>
      <x:c r="B14" s="13"/>
      <x:c r="C14" s="18"/>
      <x:c r="D14" s="18"/>
      <x:c r="E14" s="19"/>
      <x:c r="F14" s="19"/>
      <x:c r="G14" s="19"/>
      <x:c r="H14" s="19"/>
      <x:c r="I14" s="20" t="n">
        <x:f>IF(OR(C14="",D14=""),0,MAX(0,(D14-C14)*24-E14))</x:f>
        <x:v>0</x:v>
      </x:c>
      <x:c r="J14" s="20" t="n">
        <x:f>MIN(I14,H14)</x:f>
        <x:v>0</x:v>
      </x:c>
      <x:c r="K14" s="20" t="n">
        <x:f>MAX(0,I14-H14)</x:f>
        <x:v>0</x:v>
      </x:c>
      <x:c r="L14" s="20" t="n">
        <x:f>IF(F14="Unpaid",G14,0)</x:f>
        <x:v>0</x:v>
      </x:c>
      <x:c r="M14" s="17" t="str">
        <x:f>IF(B14="","",IF(F14="Paid","مرخصی با حقوق",IF(F14="Unpaid","مرخصی بدون حقوق",IF(K14&gt;0,"اضافه‌کاری","عادی"))))</x:f>
      </x:c>
    </x:row>
    <x:row r="15">
      <x:c r="A15" s="14"/>
      <x:c r="B15" s="13"/>
      <x:c r="C15" s="18"/>
      <x:c r="D15" s="18"/>
      <x:c r="E15" s="19"/>
      <x:c r="F15" s="19"/>
      <x:c r="G15" s="19"/>
      <x:c r="H15" s="19"/>
      <x:c r="I15" s="20" t="n">
        <x:f>IF(OR(C15="",D15=""),0,MAX(0,(D15-C15)*24-E15))</x:f>
        <x:v>0</x:v>
      </x:c>
      <x:c r="J15" s="20" t="n">
        <x:f>MIN(I15,H15)</x:f>
        <x:v>0</x:v>
      </x:c>
      <x:c r="K15" s="20" t="n">
        <x:f>MAX(0,I15-H15)</x:f>
        <x:v>0</x:v>
      </x:c>
      <x:c r="L15" s="20" t="n">
        <x:f>IF(F15="Unpaid",G15,0)</x:f>
        <x:v>0</x:v>
      </x:c>
      <x:c r="M15" s="17" t="str">
        <x:f>IF(B15="","",IF(F15="Paid","مرخصی با حقوق",IF(F15="Unpaid","مرخصی بدون حقوق",IF(K15&gt;0,"اضافه‌کاری","عادی"))))</x:f>
      </x:c>
    </x:row>
    <x:row r="16">
      <x:c r="A16" s="14"/>
      <x:c r="B16" s="13"/>
      <x:c r="C16" s="18"/>
      <x:c r="D16" s="18"/>
      <x:c r="E16" s="19"/>
      <x:c r="F16" s="19"/>
      <x:c r="G16" s="19"/>
      <x:c r="H16" s="19"/>
      <x:c r="I16" s="20" t="n">
        <x:f>IF(OR(C16="",D16=""),0,MAX(0,(D16-C16)*24-E16))</x:f>
        <x:v>0</x:v>
      </x:c>
      <x:c r="J16" s="20" t="n">
        <x:f>MIN(I16,H16)</x:f>
        <x:v>0</x:v>
      </x:c>
      <x:c r="K16" s="20" t="n">
        <x:f>MAX(0,I16-H16)</x:f>
        <x:v>0</x:v>
      </x:c>
      <x:c r="L16" s="20" t="n">
        <x:f>IF(F16="Unpaid",G16,0)</x:f>
        <x:v>0</x:v>
      </x:c>
      <x:c r="M16" s="17" t="str">
        <x:f>IF(B16="","",IF(F16="Paid","مرخصی با حقوق",IF(F16="Unpaid","مرخصی بدون حقوق",IF(K16&gt;0,"اضافه‌کاری","عادی"))))</x:f>
      </x:c>
    </x:row>
    <x:row r="17">
      <x:c r="A17" s="14"/>
      <x:c r="B17" s="13"/>
      <x:c r="C17" s="18"/>
      <x:c r="D17" s="18"/>
      <x:c r="E17" s="19"/>
      <x:c r="F17" s="19"/>
      <x:c r="G17" s="19"/>
      <x:c r="H17" s="19"/>
      <x:c r="I17" s="20" t="n">
        <x:f>IF(OR(C17="",D17=""),0,MAX(0,(D17-C17)*24-E17))</x:f>
        <x:v>0</x:v>
      </x:c>
      <x:c r="J17" s="20" t="n">
        <x:f>MIN(I17,H17)</x:f>
        <x:v>0</x:v>
      </x:c>
      <x:c r="K17" s="20" t="n">
        <x:f>MAX(0,I17-H17)</x:f>
        <x:v>0</x:v>
      </x:c>
      <x:c r="L17" s="20" t="n">
        <x:f>IF(F17="Unpaid",G17,0)</x:f>
        <x:v>0</x:v>
      </x:c>
      <x:c r="M17" s="17" t="str">
        <x:f>IF(B17="","",IF(F17="Paid","مرخصی با حقوق",IF(F17="Unpaid","مرخصی بدون حقوق",IF(K17&gt;0,"اضافه‌کاری","عادی"))))</x:f>
      </x:c>
    </x:row>
    <x:row r="18">
      <x:c r="A18" s="14"/>
      <x:c r="B18" s="13"/>
      <x:c r="C18" s="18"/>
      <x:c r="D18" s="18"/>
      <x:c r="E18" s="19"/>
      <x:c r="F18" s="19"/>
      <x:c r="G18" s="19"/>
      <x:c r="H18" s="19"/>
      <x:c r="I18" s="20" t="n">
        <x:f>IF(OR(C18="",D18=""),0,MAX(0,(D18-C18)*24-E18))</x:f>
        <x:v>0</x:v>
      </x:c>
      <x:c r="J18" s="20" t="n">
        <x:f>MIN(I18,H18)</x:f>
        <x:v>0</x:v>
      </x:c>
      <x:c r="K18" s="20" t="n">
        <x:f>MAX(0,I18-H18)</x:f>
        <x:v>0</x:v>
      </x:c>
      <x:c r="L18" s="20" t="n">
        <x:f>IF(F18="Unpaid",G18,0)</x:f>
        <x:v>0</x:v>
      </x:c>
      <x:c r="M18" s="17" t="str">
        <x:f>IF(B18="","",IF(F18="Paid","مرخصی با حقوق",IF(F18="Unpaid","مرخصی بدون حقوق",IF(K18&gt;0,"اضافه‌کاری","عادی"))))</x:f>
      </x:c>
    </x:row>
    <x:row r="19">
      <x:c r="A19" s="14"/>
      <x:c r="B19" s="13"/>
      <x:c r="C19" s="18"/>
      <x:c r="D19" s="18"/>
      <x:c r="E19" s="19"/>
      <x:c r="F19" s="19"/>
      <x:c r="G19" s="19"/>
      <x:c r="H19" s="19"/>
      <x:c r="I19" s="20" t="n">
        <x:f>IF(OR(C19="",D19=""),0,MAX(0,(D19-C19)*24-E19))</x:f>
        <x:v>0</x:v>
      </x:c>
      <x:c r="J19" s="20" t="n">
        <x:f>MIN(I19,H19)</x:f>
        <x:v>0</x:v>
      </x:c>
      <x:c r="K19" s="20" t="n">
        <x:f>MAX(0,I19-H19)</x:f>
        <x:v>0</x:v>
      </x:c>
      <x:c r="L19" s="20" t="n">
        <x:f>IF(F19="Unpaid",G19,0)</x:f>
        <x:v>0</x:v>
      </x:c>
      <x:c r="M19" s="17" t="str">
        <x:f>IF(B19="","",IF(F19="Paid","مرخصی با حقوق",IF(F19="Unpaid","مرخصی بدون حقوق",IF(K19&gt;0,"اضافه‌کاری","عادی"))))</x:f>
      </x:c>
    </x:row>
    <x:row r="20">
      <x:c r="A20" s="14"/>
      <x:c r="B20" s="13"/>
      <x:c r="C20" s="18"/>
      <x:c r="D20" s="18"/>
      <x:c r="E20" s="19"/>
      <x:c r="F20" s="19"/>
      <x:c r="G20" s="19"/>
      <x:c r="H20" s="19"/>
      <x:c r="I20" s="20" t="n">
        <x:f>IF(OR(C20="",D20=""),0,MAX(0,(D20-C20)*24-E20))</x:f>
        <x:v>0</x:v>
      </x:c>
      <x:c r="J20" s="20" t="n">
        <x:f>MIN(I20,H20)</x:f>
        <x:v>0</x:v>
      </x:c>
      <x:c r="K20" s="20" t="n">
        <x:f>MAX(0,I20-H20)</x:f>
        <x:v>0</x:v>
      </x:c>
      <x:c r="L20" s="20" t="n">
        <x:f>IF(F20="Unpaid",G20,0)</x:f>
        <x:v>0</x:v>
      </x:c>
      <x:c r="M20" s="17" t="str">
        <x:f>IF(B20="","",IF(F20="Paid","مرخصی با حقوق",IF(F20="Unpaid","مرخصی بدون حقوق",IF(K20&gt;0,"اضافه‌کاری","عادی"))))</x:f>
      </x:c>
    </x:row>
    <x:row r="21">
      <x:c r="A21" s="14"/>
      <x:c r="B21" s="13"/>
      <x:c r="C21" s="18"/>
      <x:c r="D21" s="18"/>
      <x:c r="E21" s="19"/>
      <x:c r="F21" s="19"/>
      <x:c r="G21" s="19"/>
      <x:c r="H21" s="19"/>
      <x:c r="I21" s="20" t="n">
        <x:f>IF(OR(C21="",D21=""),0,MAX(0,(D21-C21)*24-E21))</x:f>
        <x:v>0</x:v>
      </x:c>
      <x:c r="J21" s="20" t="n">
        <x:f>MIN(I21,H21)</x:f>
        <x:v>0</x:v>
      </x:c>
      <x:c r="K21" s="20" t="n">
        <x:f>MAX(0,I21-H21)</x:f>
        <x:v>0</x:v>
      </x:c>
      <x:c r="L21" s="20" t="n">
        <x:f>IF(F21="Unpaid",G21,0)</x:f>
        <x:v>0</x:v>
      </x:c>
      <x:c r="M21" s="17" t="str">
        <x:f>IF(B21="","",IF(F21="Paid","مرخصی با حقوق",IF(F21="Unpaid","مرخصی بدون حقوق",IF(K21&gt;0,"اضافه‌کاری","عادی"))))</x:f>
      </x:c>
    </x:row>
    <x:row r="22">
      <x:c r="A22" s="14"/>
      <x:c r="B22" s="13"/>
      <x:c r="C22" s="18"/>
      <x:c r="D22" s="18"/>
      <x:c r="E22" s="19"/>
      <x:c r="F22" s="19"/>
      <x:c r="G22" s="19"/>
      <x:c r="H22" s="19"/>
      <x:c r="I22" s="20" t="n">
        <x:f>IF(OR(C22="",D22=""),0,MAX(0,(D22-C22)*24-E22))</x:f>
        <x:v>0</x:v>
      </x:c>
      <x:c r="J22" s="20" t="n">
        <x:f>MIN(I22,H22)</x:f>
        <x:v>0</x:v>
      </x:c>
      <x:c r="K22" s="20" t="n">
        <x:f>MAX(0,I22-H22)</x:f>
        <x:v>0</x:v>
      </x:c>
      <x:c r="L22" s="20" t="n">
        <x:f>IF(F22="Unpaid",G22,0)</x:f>
        <x:v>0</x:v>
      </x:c>
      <x:c r="M22" s="17" t="str">
        <x:f>IF(B22="","",IF(F22="Paid","مرخصی با حقوق",IF(F22="Unpaid","مرخصی بدون حقوق",IF(K22&gt;0,"اضافه‌کاری","عادی"))))</x:f>
      </x:c>
    </x:row>
    <x:row r="23">
      <x:c r="A23" s="14"/>
      <x:c r="B23" s="13"/>
      <x:c r="C23" s="18"/>
      <x:c r="D23" s="18"/>
      <x:c r="E23" s="19"/>
      <x:c r="F23" s="19"/>
      <x:c r="G23" s="19"/>
      <x:c r="H23" s="19"/>
      <x:c r="I23" s="20" t="n">
        <x:f>IF(OR(C23="",D23=""),0,MAX(0,(D23-C23)*24-E23))</x:f>
        <x:v>0</x:v>
      </x:c>
      <x:c r="J23" s="20" t="n">
        <x:f>MIN(I23,H23)</x:f>
        <x:v>0</x:v>
      </x:c>
      <x:c r="K23" s="20" t="n">
        <x:f>MAX(0,I23-H23)</x:f>
        <x:v>0</x:v>
      </x:c>
      <x:c r="L23" s="20" t="n">
        <x:f>IF(F23="Unpaid",G23,0)</x:f>
        <x:v>0</x:v>
      </x:c>
      <x:c r="M23" s="17" t="str">
        <x:f>IF(B23="","",IF(F23="Paid","مرخصی با حقوق",IF(F23="Unpaid","مرخصی بدون حقوق",IF(K23&gt;0,"اضافه‌کاری","عادی"))))</x:f>
      </x:c>
    </x:row>
    <x:row r="24">
      <x:c r="A24" s="14"/>
      <x:c r="B24" s="13"/>
      <x:c r="C24" s="18"/>
      <x:c r="D24" s="18"/>
      <x:c r="E24" s="19"/>
      <x:c r="F24" s="19"/>
      <x:c r="G24" s="19"/>
      <x:c r="H24" s="19"/>
      <x:c r="I24" s="20" t="n">
        <x:f>IF(OR(C24="",D24=""),0,MAX(0,(D24-C24)*24-E24))</x:f>
        <x:v>0</x:v>
      </x:c>
      <x:c r="J24" s="20" t="n">
        <x:f>MIN(I24,H24)</x:f>
        <x:v>0</x:v>
      </x:c>
      <x:c r="K24" s="20" t="n">
        <x:f>MAX(0,I24-H24)</x:f>
        <x:v>0</x:v>
      </x:c>
      <x:c r="L24" s="20" t="n">
        <x:f>IF(F24="Unpaid",G24,0)</x:f>
        <x:v>0</x:v>
      </x:c>
      <x:c r="M24" s="17" t="str">
        <x:f>IF(B24="","",IF(F24="Paid","مرخصی با حقوق",IF(F24="Unpaid","مرخصی بدون حقوق",IF(K24&gt;0,"اضافه‌کاری","عادی"))))</x:f>
      </x:c>
    </x:row>
    <x:row r="25">
      <x:c r="A25" s="14"/>
      <x:c r="B25" s="13"/>
      <x:c r="C25" s="18"/>
      <x:c r="D25" s="18"/>
      <x:c r="E25" s="19"/>
      <x:c r="F25" s="19"/>
      <x:c r="G25" s="19"/>
      <x:c r="H25" s="19"/>
      <x:c r="I25" s="20" t="n">
        <x:f>IF(OR(C25="",D25=""),0,MAX(0,(D25-C25)*24-E25))</x:f>
        <x:v>0</x:v>
      </x:c>
      <x:c r="J25" s="20" t="n">
        <x:f>MIN(I25,H25)</x:f>
        <x:v>0</x:v>
      </x:c>
      <x:c r="K25" s="20" t="n">
        <x:f>MAX(0,I25-H25)</x:f>
        <x:v>0</x:v>
      </x:c>
      <x:c r="L25" s="20" t="n">
        <x:f>IF(F25="Unpaid",G25,0)</x:f>
        <x:v>0</x:v>
      </x:c>
      <x:c r="M25" s="17" t="str">
        <x:f>IF(B25="","",IF(F25="Paid","مرخصی با حقوق",IF(F25="Unpaid","مرخصی بدون حقوق",IF(K25&gt;0,"اضافه‌کاری","عادی"))))</x:f>
      </x:c>
    </x:row>
    <x:row r="26">
      <x:c r="A26" s="14"/>
      <x:c r="B26" s="13"/>
      <x:c r="C26" s="18"/>
      <x:c r="D26" s="18"/>
      <x:c r="E26" s="19"/>
      <x:c r="F26" s="19"/>
      <x:c r="G26" s="19"/>
      <x:c r="H26" s="19"/>
      <x:c r="I26" s="20" t="n">
        <x:f>IF(OR(C26="",D26=""),0,MAX(0,(D26-C26)*24-E26))</x:f>
        <x:v>0</x:v>
      </x:c>
      <x:c r="J26" s="20" t="n">
        <x:f>MIN(I26,H26)</x:f>
        <x:v>0</x:v>
      </x:c>
      <x:c r="K26" s="20" t="n">
        <x:f>MAX(0,I26-H26)</x:f>
        <x:v>0</x:v>
      </x:c>
      <x:c r="L26" s="20" t="n">
        <x:f>IF(F26="Unpaid",G26,0)</x:f>
        <x:v>0</x:v>
      </x:c>
      <x:c r="M26" s="17" t="str">
        <x:f>IF(B26="","",IF(F26="Paid","مرخصی با حقوق",IF(F26="Unpaid","مرخصی بدون حقوق",IF(K26&gt;0,"اضافه‌کاری","عادی"))))</x:f>
      </x:c>
    </x:row>
    <x:row r="27">
      <x:c r="A27" s="14"/>
      <x:c r="B27" s="13"/>
      <x:c r="C27" s="18"/>
      <x:c r="D27" s="18"/>
      <x:c r="E27" s="19"/>
      <x:c r="F27" s="19"/>
      <x:c r="G27" s="19"/>
      <x:c r="H27" s="19"/>
      <x:c r="I27" s="20" t="n">
        <x:f>IF(OR(C27="",D27=""),0,MAX(0,(D27-C27)*24-E27))</x:f>
        <x:v>0</x:v>
      </x:c>
      <x:c r="J27" s="20" t="n">
        <x:f>MIN(I27,H27)</x:f>
        <x:v>0</x:v>
      </x:c>
      <x:c r="K27" s="20" t="n">
        <x:f>MAX(0,I27-H27)</x:f>
        <x:v>0</x:v>
      </x:c>
      <x:c r="L27" s="20" t="n">
        <x:f>IF(F27="Unpaid",G27,0)</x:f>
        <x:v>0</x:v>
      </x:c>
      <x:c r="M27" s="17" t="str">
        <x:f>IF(B27="","",IF(F27="Paid","مرخصی با حقوق",IF(F27="Unpaid","مرخصی بدون حقوق",IF(K27&gt;0,"اضافه‌کاری","عادی"))))</x:f>
      </x:c>
    </x:row>
    <x:row r="28">
      <x:c r="A28" s="14"/>
      <x:c r="B28" s="13"/>
      <x:c r="C28" s="18"/>
      <x:c r="D28" s="18"/>
      <x:c r="E28" s="19"/>
      <x:c r="F28" s="19"/>
      <x:c r="G28" s="19"/>
      <x:c r="H28" s="19"/>
      <x:c r="I28" s="20" t="n">
        <x:f>IF(OR(C28="",D28=""),0,MAX(0,(D28-C28)*24-E28))</x:f>
        <x:v>0</x:v>
      </x:c>
      <x:c r="J28" s="20" t="n">
        <x:f>MIN(I28,H28)</x:f>
        <x:v>0</x:v>
      </x:c>
      <x:c r="K28" s="20" t="n">
        <x:f>MAX(0,I28-H28)</x:f>
        <x:v>0</x:v>
      </x:c>
      <x:c r="L28" s="20" t="n">
        <x:f>IF(F28="Unpaid",G28,0)</x:f>
        <x:v>0</x:v>
      </x:c>
      <x:c r="M28" s="17" t="str">
        <x:f>IF(B28="","",IF(F28="Paid","مرخصی با حقوق",IF(F28="Unpaid","مرخصی بدون حقوق",IF(K28&gt;0,"اضافه‌کاری","عادی"))))</x:f>
      </x:c>
    </x:row>
    <x:row r="29">
      <x:c r="A29" s="14"/>
      <x:c r="B29" s="13"/>
      <x:c r="C29" s="18"/>
      <x:c r="D29" s="18"/>
      <x:c r="E29" s="19"/>
      <x:c r="F29" s="19"/>
      <x:c r="G29" s="19"/>
      <x:c r="H29" s="19"/>
      <x:c r="I29" s="20" t="n">
        <x:f>IF(OR(C29="",D29=""),0,MAX(0,(D29-C29)*24-E29))</x:f>
        <x:v>0</x:v>
      </x:c>
      <x:c r="J29" s="20" t="n">
        <x:f>MIN(I29,H29)</x:f>
        <x:v>0</x:v>
      </x:c>
      <x:c r="K29" s="20" t="n">
        <x:f>MAX(0,I29-H29)</x:f>
        <x:v>0</x:v>
      </x:c>
      <x:c r="L29" s="20" t="n">
        <x:f>IF(F29="Unpaid",G29,0)</x:f>
        <x:v>0</x:v>
      </x:c>
      <x:c r="M29" s="17" t="str">
        <x:f>IF(B29="","",IF(F29="Paid","مرخصی با حقوق",IF(F29="Unpaid","مرخصی بدون حقوق",IF(K29&gt;0,"اضافه‌کاری","عادی"))))</x:f>
      </x:c>
    </x:row>
    <x:row r="30">
      <x:c r="A30" s="14"/>
      <x:c r="B30" s="13"/>
      <x:c r="C30" s="18"/>
      <x:c r="D30" s="18"/>
      <x:c r="E30" s="19"/>
      <x:c r="F30" s="19"/>
      <x:c r="G30" s="19"/>
      <x:c r="H30" s="19"/>
      <x:c r="I30" s="20" t="n">
        <x:f>IF(OR(C30="",D30=""),0,MAX(0,(D30-C30)*24-E30))</x:f>
        <x:v>0</x:v>
      </x:c>
      <x:c r="J30" s="20" t="n">
        <x:f>MIN(I30,H30)</x:f>
        <x:v>0</x:v>
      </x:c>
      <x:c r="K30" s="20" t="n">
        <x:f>MAX(0,I30-H30)</x:f>
        <x:v>0</x:v>
      </x:c>
      <x:c r="L30" s="20" t="n">
        <x:f>IF(F30="Unpaid",G30,0)</x:f>
        <x:v>0</x:v>
      </x:c>
      <x:c r="M30" s="17" t="str">
        <x:f>IF(B30="","",IF(F30="Paid","مرخصی با حقوق",IF(F30="Unpaid","مرخصی بدون حقوق",IF(K30&gt;0,"اضافه‌کاری","عادی"))))</x:f>
      </x:c>
    </x:row>
    <x:row r="31">
      <x:c r="A31" s="14"/>
      <x:c r="B31" s="13"/>
      <x:c r="C31" s="18"/>
      <x:c r="D31" s="18"/>
      <x:c r="E31" s="19"/>
      <x:c r="F31" s="19"/>
      <x:c r="G31" s="19"/>
      <x:c r="H31" s="19"/>
      <x:c r="I31" s="20" t="n">
        <x:f>IF(OR(C31="",D31=""),0,MAX(0,(D31-C31)*24-E31))</x:f>
        <x:v>0</x:v>
      </x:c>
      <x:c r="J31" s="20" t="n">
        <x:f>MIN(I31,H31)</x:f>
        <x:v>0</x:v>
      </x:c>
      <x:c r="K31" s="20" t="n">
        <x:f>MAX(0,I31-H31)</x:f>
        <x:v>0</x:v>
      </x:c>
      <x:c r="L31" s="20" t="n">
        <x:f>IF(F31="Unpaid",G31,0)</x:f>
        <x:v>0</x:v>
      </x:c>
      <x:c r="M31" s="17" t="str">
        <x:f>IF(B31="","",IF(F31="Paid","مرخصی با حقوق",IF(F31="Unpaid","مرخصی بدون حقوق",IF(K31&gt;0,"اضافه‌کاری","عادی"))))</x:f>
      </x:c>
    </x:row>
    <x:row r="32">
      <x:c r="A32" s="14"/>
      <x:c r="B32" s="13"/>
      <x:c r="C32" s="18"/>
      <x:c r="D32" s="18"/>
      <x:c r="E32" s="19"/>
      <x:c r="F32" s="19"/>
      <x:c r="G32" s="19"/>
      <x:c r="H32" s="19"/>
      <x:c r="I32" s="20" t="n">
        <x:f>IF(OR(C32="",D32=""),0,MAX(0,(D32-C32)*24-E32))</x:f>
        <x:v>0</x:v>
      </x:c>
      <x:c r="J32" s="20" t="n">
        <x:f>MIN(I32,H32)</x:f>
        <x:v>0</x:v>
      </x:c>
      <x:c r="K32" s="20" t="n">
        <x:f>MAX(0,I32-H32)</x:f>
        <x:v>0</x:v>
      </x:c>
      <x:c r="L32" s="20" t="n">
        <x:f>IF(F32="Unpaid",G32,0)</x:f>
        <x:v>0</x:v>
      </x:c>
      <x:c r="M32" s="17" t="str">
        <x:f>IF(B32="","",IF(F32="Paid","مرخصی با حقوق",IF(F32="Unpaid","مرخصی بدون حقوق",IF(K32&gt;0,"اضافه‌کاری","عادی"))))</x:f>
      </x:c>
    </x:row>
    <x:row r="33">
      <x:c r="A33" s="14"/>
      <x:c r="B33" s="13"/>
      <x:c r="C33" s="18"/>
      <x:c r="D33" s="18"/>
      <x:c r="E33" s="19"/>
      <x:c r="F33" s="19"/>
      <x:c r="G33" s="19"/>
      <x:c r="H33" s="19"/>
      <x:c r="I33" s="20" t="n">
        <x:f>IF(OR(C33="",D33=""),0,MAX(0,(D33-C33)*24-E33))</x:f>
        <x:v>0</x:v>
      </x:c>
      <x:c r="J33" s="20" t="n">
        <x:f>MIN(I33,H33)</x:f>
        <x:v>0</x:v>
      </x:c>
      <x:c r="K33" s="20" t="n">
        <x:f>MAX(0,I33-H33)</x:f>
        <x:v>0</x:v>
      </x:c>
      <x:c r="L33" s="20" t="n">
        <x:f>IF(F33="Unpaid",G33,0)</x:f>
        <x:v>0</x:v>
      </x:c>
      <x:c r="M33" s="17" t="str">
        <x:f>IF(B33="","",IF(F33="Paid","مرخصی با حقوق",IF(F33="Unpaid","مرخصی بدون حقوق",IF(K33&gt;0,"اضافه‌کاری","عادی"))))</x:f>
      </x:c>
    </x:row>
    <x:row r="34">
      <x:c r="A34" s="14"/>
      <x:c r="B34" s="13"/>
      <x:c r="C34" s="18"/>
      <x:c r="D34" s="18"/>
      <x:c r="E34" s="19"/>
      <x:c r="F34" s="19"/>
      <x:c r="G34" s="19"/>
      <x:c r="H34" s="19"/>
      <x:c r="I34" s="20" t="n">
        <x:f>IF(OR(C34="",D34=""),0,MAX(0,(D34-C34)*24-E34))</x:f>
        <x:v>0</x:v>
      </x:c>
      <x:c r="J34" s="20" t="n">
        <x:f>MIN(I34,H34)</x:f>
        <x:v>0</x:v>
      </x:c>
      <x:c r="K34" s="20" t="n">
        <x:f>MAX(0,I34-H34)</x:f>
        <x:v>0</x:v>
      </x:c>
      <x:c r="L34" s="20" t="n">
        <x:f>IF(F34="Unpaid",G34,0)</x:f>
        <x:v>0</x:v>
      </x:c>
      <x:c r="M34" s="17" t="str">
        <x:f>IF(B34="","",IF(F34="Paid","مرخصی با حقوق",IF(F34="Unpaid","مرخصی بدون حقوق",IF(K34&gt;0,"اضافه‌کاری","عادی"))))</x:f>
      </x:c>
    </x:row>
    <x:row r="35">
      <x:c r="A35" s="14"/>
      <x:c r="B35" s="13"/>
      <x:c r="C35" s="18"/>
      <x:c r="D35" s="18"/>
      <x:c r="E35" s="19"/>
      <x:c r="F35" s="19"/>
      <x:c r="G35" s="19"/>
      <x:c r="H35" s="19"/>
      <x:c r="I35" s="20" t="n">
        <x:f>IF(OR(C35="",D35=""),0,MAX(0,(D35-C35)*24-E35))</x:f>
        <x:v>0</x:v>
      </x:c>
      <x:c r="J35" s="20" t="n">
        <x:f>MIN(I35,H35)</x:f>
        <x:v>0</x:v>
      </x:c>
      <x:c r="K35" s="20" t="n">
        <x:f>MAX(0,I35-H35)</x:f>
        <x:v>0</x:v>
      </x:c>
      <x:c r="L35" s="20" t="n">
        <x:f>IF(F35="Unpaid",G35,0)</x:f>
        <x:v>0</x:v>
      </x:c>
      <x:c r="M35" s="17" t="str">
        <x:f>IF(B35="","",IF(F35="Paid","مرخصی با حقوق",IF(F35="Unpaid","مرخصی بدون حقوق",IF(K35&gt;0,"اضافه‌کاری","عادی"))))</x:f>
      </x:c>
    </x:row>
    <x:row r="36">
      <x:c r="A36" s="14"/>
      <x:c r="B36" s="13"/>
      <x:c r="C36" s="18"/>
      <x:c r="D36" s="18"/>
      <x:c r="E36" s="19"/>
      <x:c r="F36" s="19"/>
      <x:c r="G36" s="19"/>
      <x:c r="H36" s="19"/>
      <x:c r="I36" s="20" t="n">
        <x:f>IF(OR(C36="",D36=""),0,MAX(0,(D36-C36)*24-E36))</x:f>
        <x:v>0</x:v>
      </x:c>
      <x:c r="J36" s="20" t="n">
        <x:f>MIN(I36,H36)</x:f>
        <x:v>0</x:v>
      </x:c>
      <x:c r="K36" s="20" t="n">
        <x:f>MAX(0,I36-H36)</x:f>
        <x:v>0</x:v>
      </x:c>
      <x:c r="L36" s="20" t="n">
        <x:f>IF(F36="Unpaid",G36,0)</x:f>
        <x:v>0</x:v>
      </x:c>
      <x:c r="M36" s="17" t="str">
        <x:f>IF(B36="","",IF(F36="Paid","مرخصی با حقوق",IF(F36="Unpaid","مرخصی بدون حقوق",IF(K36&gt;0,"اضافه‌کاری","عادی"))))</x:f>
      </x:c>
    </x:row>
    <x:row r="37">
      <x:c r="A37" s="14"/>
      <x:c r="B37" s="13"/>
      <x:c r="C37" s="18"/>
      <x:c r="D37" s="18"/>
      <x:c r="E37" s="19"/>
      <x:c r="F37" s="19"/>
      <x:c r="G37" s="19"/>
      <x:c r="H37" s="19"/>
      <x:c r="I37" s="20" t="n">
        <x:f>IF(OR(C37="",D37=""),0,MAX(0,(D37-C37)*24-E37))</x:f>
        <x:v>0</x:v>
      </x:c>
      <x:c r="J37" s="20" t="n">
        <x:f>MIN(I37,H37)</x:f>
        <x:v>0</x:v>
      </x:c>
      <x:c r="K37" s="20" t="n">
        <x:f>MAX(0,I37-H37)</x:f>
        <x:v>0</x:v>
      </x:c>
      <x:c r="L37" s="20" t="n">
        <x:f>IF(F37="Unpaid",G37,0)</x:f>
        <x:v>0</x:v>
      </x:c>
      <x:c r="M37" s="17" t="str">
        <x:f>IF(B37="","",IF(F37="Paid","مرخصی با حقوق",IF(F37="Unpaid","مرخصی بدون حقوق",IF(K37&gt;0,"اضافه‌کاری","عادی"))))</x:f>
      </x:c>
    </x:row>
    <x:row r="38">
      <x:c r="A38" s="14"/>
      <x:c r="B38" s="13"/>
      <x:c r="C38" s="18"/>
      <x:c r="D38" s="18"/>
      <x:c r="E38" s="19"/>
      <x:c r="F38" s="19"/>
      <x:c r="G38" s="19"/>
      <x:c r="H38" s="19"/>
      <x:c r="I38" s="20" t="n">
        <x:f>IF(OR(C38="",D38=""),0,MAX(0,(D38-C38)*24-E38))</x:f>
        <x:v>0</x:v>
      </x:c>
      <x:c r="J38" s="20" t="n">
        <x:f>MIN(I38,H38)</x:f>
        <x:v>0</x:v>
      </x:c>
      <x:c r="K38" s="20" t="n">
        <x:f>MAX(0,I38-H38)</x:f>
        <x:v>0</x:v>
      </x:c>
      <x:c r="L38" s="20" t="n">
        <x:f>IF(F38="Unpaid",G38,0)</x:f>
        <x:v>0</x:v>
      </x:c>
      <x:c r="M38" s="17" t="str">
        <x:f>IF(B38="","",IF(F38="Paid","مرخصی با حقوق",IF(F38="Unpaid","مرخصی بدون حقوق",IF(K38&gt;0,"اضافه‌کاری","عادی"))))</x:f>
      </x:c>
    </x:row>
    <x:row r="39">
      <x:c r="A39" s="14"/>
      <x:c r="B39" s="13"/>
      <x:c r="C39" s="18"/>
      <x:c r="D39" s="18"/>
      <x:c r="E39" s="19"/>
      <x:c r="F39" s="19"/>
      <x:c r="G39" s="19"/>
      <x:c r="H39" s="19"/>
      <x:c r="I39" s="20" t="n">
        <x:f>IF(OR(C39="",D39=""),0,MAX(0,(D39-C39)*24-E39))</x:f>
        <x:v>0</x:v>
      </x:c>
      <x:c r="J39" s="20" t="n">
        <x:f>MIN(I39,H39)</x:f>
        <x:v>0</x:v>
      </x:c>
      <x:c r="K39" s="20" t="n">
        <x:f>MAX(0,I39-H39)</x:f>
        <x:v>0</x:v>
      </x:c>
      <x:c r="L39" s="20" t="n">
        <x:f>IF(F39="Unpaid",G39,0)</x:f>
        <x:v>0</x:v>
      </x:c>
      <x:c r="M39" s="17" t="str">
        <x:f>IF(B39="","",IF(F39="Paid","مرخصی با حقوق",IF(F39="Unpaid","مرخصی بدون حقوق",IF(K39&gt;0,"اضافه‌کاری","عادی"))))</x:f>
      </x:c>
    </x:row>
    <x:row r="40">
      <x:c r="A40" s="14"/>
      <x:c r="B40" s="13"/>
      <x:c r="C40" s="18"/>
      <x:c r="D40" s="18"/>
      <x:c r="E40" s="19"/>
      <x:c r="F40" s="19"/>
      <x:c r="G40" s="19"/>
      <x:c r="H40" s="19"/>
      <x:c r="I40" s="20" t="n">
        <x:f>IF(OR(C40="",D40=""),0,MAX(0,(D40-C40)*24-E40))</x:f>
        <x:v>0</x:v>
      </x:c>
      <x:c r="J40" s="20" t="n">
        <x:f>MIN(I40,H40)</x:f>
        <x:v>0</x:v>
      </x:c>
      <x:c r="K40" s="20" t="n">
        <x:f>MAX(0,I40-H40)</x:f>
        <x:v>0</x:v>
      </x:c>
      <x:c r="L40" s="20" t="n">
        <x:f>IF(F40="Unpaid",G40,0)</x:f>
        <x:v>0</x:v>
      </x:c>
      <x:c r="M40" s="17" t="str">
        <x:f>IF(B40="","",IF(F40="Paid","مرخصی با حقوق",IF(F40="Unpaid","مرخصی بدون حقوق",IF(K40&gt;0,"اضافه‌کاری","عادی"))))</x:f>
      </x:c>
    </x:row>
    <x:row r="41">
      <x:c r="A41" s="14"/>
      <x:c r="B41" s="13"/>
      <x:c r="C41" s="18"/>
      <x:c r="D41" s="18"/>
      <x:c r="E41" s="19"/>
      <x:c r="F41" s="19"/>
      <x:c r="G41" s="19"/>
      <x:c r="H41" s="19"/>
      <x:c r="I41" s="20" t="n">
        <x:f>IF(OR(C41="",D41=""),0,MAX(0,(D41-C41)*24-E41))</x:f>
        <x:v>0</x:v>
      </x:c>
      <x:c r="J41" s="20" t="n">
        <x:f>MIN(I41,H41)</x:f>
        <x:v>0</x:v>
      </x:c>
      <x:c r="K41" s="20" t="n">
        <x:f>MAX(0,I41-H41)</x:f>
        <x:v>0</x:v>
      </x:c>
      <x:c r="L41" s="20" t="n">
        <x:f>IF(F41="Unpaid",G41,0)</x:f>
        <x:v>0</x:v>
      </x:c>
      <x:c r="M41" s="17" t="str">
        <x:f>IF(B41="","",IF(F41="Paid","مرخصی با حقوق",IF(F41="Unpaid","مرخصی بدون حقوق",IF(K41&gt;0,"اضافه‌کاری","عادی"))))</x:f>
      </x:c>
    </x:row>
    <x:row r="42">
      <x:c r="A42" s="14"/>
      <x:c r="B42" s="13"/>
      <x:c r="C42" s="18"/>
      <x:c r="D42" s="18"/>
      <x:c r="E42" s="19"/>
      <x:c r="F42" s="19"/>
      <x:c r="G42" s="19"/>
      <x:c r="H42" s="19"/>
      <x:c r="I42" s="20" t="n">
        <x:f>IF(OR(C42="",D42=""),0,MAX(0,(D42-C42)*24-E42))</x:f>
        <x:v>0</x:v>
      </x:c>
      <x:c r="J42" s="20" t="n">
        <x:f>MIN(I42,H42)</x:f>
        <x:v>0</x:v>
      </x:c>
      <x:c r="K42" s="20" t="n">
        <x:f>MAX(0,I42-H42)</x:f>
        <x:v>0</x:v>
      </x:c>
      <x:c r="L42" s="20" t="n">
        <x:f>IF(F42="Unpaid",G42,0)</x:f>
        <x:v>0</x:v>
      </x:c>
      <x:c r="M42" s="17" t="str">
        <x:f>IF(B42="","",IF(F42="Paid","مرخصی با حقوق",IF(F42="Unpaid","مرخصی بدون حقوق",IF(K42&gt;0,"اضافه‌کاری","عادی"))))</x:f>
      </x:c>
    </x:row>
    <x:row r="43">
      <x:c r="A43" s="14"/>
      <x:c r="B43" s="13"/>
      <x:c r="C43" s="18"/>
      <x:c r="D43" s="18"/>
      <x:c r="E43" s="19"/>
      <x:c r="F43" s="19"/>
      <x:c r="G43" s="19"/>
      <x:c r="H43" s="19"/>
      <x:c r="I43" s="20" t="n">
        <x:f>IF(OR(C43="",D43=""),0,MAX(0,(D43-C43)*24-E43))</x:f>
        <x:v>0</x:v>
      </x:c>
      <x:c r="J43" s="20" t="n">
        <x:f>MIN(I43,H43)</x:f>
        <x:v>0</x:v>
      </x:c>
      <x:c r="K43" s="20" t="n">
        <x:f>MAX(0,I43-H43)</x:f>
        <x:v>0</x:v>
      </x:c>
      <x:c r="L43" s="20" t="n">
        <x:f>IF(F43="Unpaid",G43,0)</x:f>
        <x:v>0</x:v>
      </x:c>
      <x:c r="M43" s="17" t="str">
        <x:f>IF(B43="","",IF(F43="Paid","مرخصی با حقوق",IF(F43="Unpaid","مرخصی بدون حقوق",IF(K43&gt;0,"اضافه‌کاری","عادی"))))</x:f>
      </x:c>
    </x:row>
    <x:row r="44">
      <x:c r="A44" s="14"/>
      <x:c r="B44" s="13"/>
      <x:c r="C44" s="18"/>
      <x:c r="D44" s="18"/>
      <x:c r="E44" s="19"/>
      <x:c r="F44" s="19"/>
      <x:c r="G44" s="19"/>
      <x:c r="H44" s="19"/>
      <x:c r="I44" s="20" t="n">
        <x:f>IF(OR(C44="",D44=""),0,MAX(0,(D44-C44)*24-E44))</x:f>
        <x:v>0</x:v>
      </x:c>
      <x:c r="J44" s="20" t="n">
        <x:f>MIN(I44,H44)</x:f>
        <x:v>0</x:v>
      </x:c>
      <x:c r="K44" s="20" t="n">
        <x:f>MAX(0,I44-H44)</x:f>
        <x:v>0</x:v>
      </x:c>
      <x:c r="L44" s="20" t="n">
        <x:f>IF(F44="Unpaid",G44,0)</x:f>
        <x:v>0</x:v>
      </x:c>
      <x:c r="M44" s="17" t="str">
        <x:f>IF(B44="","",IF(F44="Paid","مرخصی با حقوق",IF(F44="Unpaid","مرخصی بدون حقوق",IF(K44&gt;0,"اضافه‌کاری","عادی"))))</x:f>
      </x:c>
    </x:row>
    <x:row r="45">
      <x:c r="A45" s="14"/>
      <x:c r="B45" s="13"/>
      <x:c r="C45" s="18"/>
      <x:c r="D45" s="18"/>
      <x:c r="E45" s="19"/>
      <x:c r="F45" s="19"/>
      <x:c r="G45" s="19"/>
      <x:c r="H45" s="19"/>
      <x:c r="I45" s="20" t="n">
        <x:f>IF(OR(C45="",D45=""),0,MAX(0,(D45-C45)*24-E45))</x:f>
        <x:v>0</x:v>
      </x:c>
      <x:c r="J45" s="20" t="n">
        <x:f>MIN(I45,H45)</x:f>
        <x:v>0</x:v>
      </x:c>
      <x:c r="K45" s="20" t="n">
        <x:f>MAX(0,I45-H45)</x:f>
        <x:v>0</x:v>
      </x:c>
      <x:c r="L45" s="20" t="n">
        <x:f>IF(F45="Unpaid",G45,0)</x:f>
        <x:v>0</x:v>
      </x:c>
      <x:c r="M45" s="17" t="str">
        <x:f>IF(B45="","",IF(F45="Paid","مرخصی با حقوق",IF(F45="Unpaid","مرخصی بدون حقوق",IF(K45&gt;0,"اضافه‌کاری","عادی"))))</x:f>
      </x:c>
    </x:row>
    <x:row r="46">
      <x:c r="A46" s="14"/>
      <x:c r="B46" s="13"/>
      <x:c r="C46" s="18"/>
      <x:c r="D46" s="18"/>
      <x:c r="E46" s="19"/>
      <x:c r="F46" s="19"/>
      <x:c r="G46" s="19"/>
      <x:c r="H46" s="19"/>
      <x:c r="I46" s="20" t="n">
        <x:f>IF(OR(C46="",D46=""),0,MAX(0,(D46-C46)*24-E46))</x:f>
        <x:v>0</x:v>
      </x:c>
      <x:c r="J46" s="20" t="n">
        <x:f>MIN(I46,H46)</x:f>
        <x:v>0</x:v>
      </x:c>
      <x:c r="K46" s="20" t="n">
        <x:f>MAX(0,I46-H46)</x:f>
        <x:v>0</x:v>
      </x:c>
      <x:c r="L46" s="20" t="n">
        <x:f>IF(F46="Unpaid",G46,0)</x:f>
        <x:v>0</x:v>
      </x:c>
      <x:c r="M46" s="17" t="str">
        <x:f>IF(B46="","",IF(F46="Paid","مرخصی با حقوق",IF(F46="Unpaid","مرخصی بدون حقوق",IF(K46&gt;0,"اضافه‌کاری","عادی"))))</x:f>
      </x:c>
    </x:row>
    <x:row r="47">
      <x:c r="A47" s="14"/>
      <x:c r="B47" s="13"/>
      <x:c r="C47" s="18"/>
      <x:c r="D47" s="18"/>
      <x:c r="E47" s="19"/>
      <x:c r="F47" s="19"/>
      <x:c r="G47" s="19"/>
      <x:c r="H47" s="19"/>
      <x:c r="I47" s="20" t="n">
        <x:f>IF(OR(C47="",D47=""),0,MAX(0,(D47-C47)*24-E47))</x:f>
        <x:v>0</x:v>
      </x:c>
      <x:c r="J47" s="20" t="n">
        <x:f>MIN(I47,H47)</x:f>
        <x:v>0</x:v>
      </x:c>
      <x:c r="K47" s="20" t="n">
        <x:f>MAX(0,I47-H47)</x:f>
        <x:v>0</x:v>
      </x:c>
      <x:c r="L47" s="20" t="n">
        <x:f>IF(F47="Unpaid",G47,0)</x:f>
        <x:v>0</x:v>
      </x:c>
      <x:c r="M47" s="17" t="str">
        <x:f>IF(B47="","",IF(F47="Paid","مرخصی با حقوق",IF(F47="Unpaid","مرخصی بدون حقوق",IF(K47&gt;0,"اضافه‌کاری","عادی"))))</x:f>
      </x:c>
    </x:row>
    <x:row r="48">
      <x:c r="A48" s="14"/>
      <x:c r="B48" s="13"/>
      <x:c r="C48" s="18"/>
      <x:c r="D48" s="18"/>
      <x:c r="E48" s="19"/>
      <x:c r="F48" s="19"/>
      <x:c r="G48" s="19"/>
      <x:c r="H48" s="19"/>
      <x:c r="I48" s="20" t="n">
        <x:f>IF(OR(C48="",D48=""),0,MAX(0,(D48-C48)*24-E48))</x:f>
        <x:v>0</x:v>
      </x:c>
      <x:c r="J48" s="20" t="n">
        <x:f>MIN(I48,H48)</x:f>
        <x:v>0</x:v>
      </x:c>
      <x:c r="K48" s="20" t="n">
        <x:f>MAX(0,I48-H48)</x:f>
        <x:v>0</x:v>
      </x:c>
      <x:c r="L48" s="20" t="n">
        <x:f>IF(F48="Unpaid",G48,0)</x:f>
        <x:v>0</x:v>
      </x:c>
      <x:c r="M48" s="17" t="str">
        <x:f>IF(B48="","",IF(F48="Paid","مرخصی با حقوق",IF(F48="Unpaid","مرخصی بدون حقوق",IF(K48&gt;0,"اضافه‌کاری","عادی"))))</x:f>
      </x:c>
    </x:row>
    <x:row r="49">
      <x:c r="A49" s="14"/>
      <x:c r="B49" s="13"/>
      <x:c r="C49" s="18"/>
      <x:c r="D49" s="18"/>
      <x:c r="E49" s="19"/>
      <x:c r="F49" s="19"/>
      <x:c r="G49" s="19"/>
      <x:c r="H49" s="19"/>
      <x:c r="I49" s="20" t="n">
        <x:f>IF(OR(C49="",D49=""),0,MAX(0,(D49-C49)*24-E49))</x:f>
        <x:v>0</x:v>
      </x:c>
      <x:c r="J49" s="20" t="n">
        <x:f>MIN(I49,H49)</x:f>
        <x:v>0</x:v>
      </x:c>
      <x:c r="K49" s="20" t="n">
        <x:f>MAX(0,I49-H49)</x:f>
        <x:v>0</x:v>
      </x:c>
      <x:c r="L49" s="20" t="n">
        <x:f>IF(F49="Unpaid",G49,0)</x:f>
        <x:v>0</x:v>
      </x:c>
      <x:c r="M49" s="17" t="str">
        <x:f>IF(B49="","",IF(F49="Paid","مرخصی با حقوق",IF(F49="Unpaid","مرخصی بدون حقوق",IF(K49&gt;0,"اضافه‌کاری","عادی"))))</x:f>
      </x:c>
    </x:row>
    <x:row r="50">
      <x:c r="A50" s="14"/>
      <x:c r="B50" s="13"/>
      <x:c r="C50" s="18"/>
      <x:c r="D50" s="18"/>
      <x:c r="E50" s="19"/>
      <x:c r="F50" s="19"/>
      <x:c r="G50" s="19"/>
      <x:c r="H50" s="19"/>
      <x:c r="I50" s="20" t="n">
        <x:f>IF(OR(C50="",D50=""),0,MAX(0,(D50-C50)*24-E50))</x:f>
        <x:v>0</x:v>
      </x:c>
      <x:c r="J50" s="20" t="n">
        <x:f>MIN(I50,H50)</x:f>
        <x:v>0</x:v>
      </x:c>
      <x:c r="K50" s="20" t="n">
        <x:f>MAX(0,I50-H50)</x:f>
        <x:v>0</x:v>
      </x:c>
      <x:c r="L50" s="20" t="n">
        <x:f>IF(F50="Unpaid",G50,0)</x:f>
        <x:v>0</x:v>
      </x:c>
      <x:c r="M50" s="17" t="str">
        <x:f>IF(B50="","",IF(F50="Paid","مرخصی با حقوق",IF(F50="Unpaid","مرخصی بدون حقوق",IF(K50&gt;0,"اضافه‌کاری","عادی"))))</x:f>
      </x:c>
    </x:row>
    <x:row r="51">
      <x:c r="A51" s="14"/>
      <x:c r="B51" s="13"/>
      <x:c r="C51" s="18"/>
      <x:c r="D51" s="18"/>
      <x:c r="E51" s="19"/>
      <x:c r="F51" s="19"/>
      <x:c r="G51" s="19"/>
      <x:c r="H51" s="19"/>
      <x:c r="I51" s="20" t="n">
        <x:f>IF(OR(C51="",D51=""),0,MAX(0,(D51-C51)*24-E51))</x:f>
        <x:v>0</x:v>
      </x:c>
      <x:c r="J51" s="20" t="n">
        <x:f>MIN(I51,H51)</x:f>
        <x:v>0</x:v>
      </x:c>
      <x:c r="K51" s="20" t="n">
        <x:f>MAX(0,I51-H51)</x:f>
        <x:v>0</x:v>
      </x:c>
      <x:c r="L51" s="20" t="n">
        <x:f>IF(F51="Unpaid",G51,0)</x:f>
        <x:v>0</x:v>
      </x:c>
      <x:c r="M51" s="17" t="str">
        <x:f>IF(B51="","",IF(F51="Paid","مرخصی با حقوق",IF(F51="Unpaid","مرخصی بدون حقوق",IF(K51&gt;0,"اضافه‌کاری","عادی"))))</x:f>
      </x:c>
    </x:row>
    <x:row r="52">
      <x:c r="A52" s="14"/>
      <x:c r="B52" s="13"/>
      <x:c r="C52" s="18"/>
      <x:c r="D52" s="18"/>
      <x:c r="E52" s="19"/>
      <x:c r="F52" s="19"/>
      <x:c r="G52" s="19"/>
      <x:c r="H52" s="19"/>
      <x:c r="I52" s="20" t="n">
        <x:f>IF(OR(C52="",D52=""),0,MAX(0,(D52-C52)*24-E52))</x:f>
        <x:v>0</x:v>
      </x:c>
      <x:c r="J52" s="20" t="n">
        <x:f>MIN(I52,H52)</x:f>
        <x:v>0</x:v>
      </x:c>
      <x:c r="K52" s="20" t="n">
        <x:f>MAX(0,I52-H52)</x:f>
        <x:v>0</x:v>
      </x:c>
      <x:c r="L52" s="20" t="n">
        <x:f>IF(F52="Unpaid",G52,0)</x:f>
        <x:v>0</x:v>
      </x:c>
      <x:c r="M52" s="17" t="str">
        <x:f>IF(B52="","",IF(F52="Paid","مرخصی با حقوق",IF(F52="Unpaid","مرخصی بدون حقوق",IF(K52&gt;0,"اضافه‌کاری","عادی"))))</x:f>
      </x:c>
    </x:row>
    <x:row r="53">
      <x:c r="A53" s="14"/>
      <x:c r="B53" s="13"/>
      <x:c r="C53" s="18"/>
      <x:c r="D53" s="18"/>
      <x:c r="E53" s="19"/>
      <x:c r="F53" s="19"/>
      <x:c r="G53" s="19"/>
      <x:c r="H53" s="19"/>
      <x:c r="I53" s="20" t="n">
        <x:f>IF(OR(C53="",D53=""),0,MAX(0,(D53-C53)*24-E53))</x:f>
        <x:v>0</x:v>
      </x:c>
      <x:c r="J53" s="20" t="n">
        <x:f>MIN(I53,H53)</x:f>
        <x:v>0</x:v>
      </x:c>
      <x:c r="K53" s="20" t="n">
        <x:f>MAX(0,I53-H53)</x:f>
        <x:v>0</x:v>
      </x:c>
      <x:c r="L53" s="20" t="n">
        <x:f>IF(F53="Unpaid",G53,0)</x:f>
        <x:v>0</x:v>
      </x:c>
      <x:c r="M53" s="17" t="str">
        <x:f>IF(B53="","",IF(F53="Paid","مرخصی با حقوق",IF(F53="Unpaid","مرخصی بدون حقوق",IF(K53&gt;0,"اضافه‌کاری","عادی"))))</x:f>
      </x:c>
    </x:row>
    <x:row r="54">
      <x:c r="A54" s="14"/>
      <x:c r="B54" s="13"/>
      <x:c r="C54" s="18"/>
      <x:c r="D54" s="18"/>
      <x:c r="E54" s="19"/>
      <x:c r="F54" s="19"/>
      <x:c r="G54" s="19"/>
      <x:c r="H54" s="19"/>
      <x:c r="I54" s="20" t="n">
        <x:f>IF(OR(C54="",D54=""),0,MAX(0,(D54-C54)*24-E54))</x:f>
        <x:v>0</x:v>
      </x:c>
      <x:c r="J54" s="20" t="n">
        <x:f>MIN(I54,H54)</x:f>
        <x:v>0</x:v>
      </x:c>
      <x:c r="K54" s="20" t="n">
        <x:f>MAX(0,I54-H54)</x:f>
        <x:v>0</x:v>
      </x:c>
      <x:c r="L54" s="20" t="n">
        <x:f>IF(F54="Unpaid",G54,0)</x:f>
        <x:v>0</x:v>
      </x:c>
      <x:c r="M54" s="17" t="str">
        <x:f>IF(B54="","",IF(F54="Paid","مرخصی با حقوق",IF(F54="Unpaid","مرخصی بدون حقوق",IF(K54&gt;0,"اضافه‌کاری","عادی"))))</x:f>
      </x:c>
    </x:row>
    <x:row r="55">
      <x:c r="A55" s="14"/>
      <x:c r="B55" s="13"/>
      <x:c r="C55" s="18"/>
      <x:c r="D55" s="18"/>
      <x:c r="E55" s="19"/>
      <x:c r="F55" s="19"/>
      <x:c r="G55" s="19"/>
      <x:c r="H55" s="19"/>
      <x:c r="I55" s="20" t="n">
        <x:f>IF(OR(C55="",D55=""),0,MAX(0,(D55-C55)*24-E55))</x:f>
        <x:v>0</x:v>
      </x:c>
      <x:c r="J55" s="20" t="n">
        <x:f>MIN(I55,H55)</x:f>
        <x:v>0</x:v>
      </x:c>
      <x:c r="K55" s="20" t="n">
        <x:f>MAX(0,I55-H55)</x:f>
        <x:v>0</x:v>
      </x:c>
      <x:c r="L55" s="20" t="n">
        <x:f>IF(F55="Unpaid",G55,0)</x:f>
        <x:v>0</x:v>
      </x:c>
      <x:c r="M55" s="17" t="str">
        <x:f>IF(B55="","",IF(F55="Paid","مرخصی با حقوق",IF(F55="Unpaid","مرخصی بدون حقوق",IF(K55&gt;0,"اضافه‌کاری","عادی"))))</x:f>
      </x:c>
    </x:row>
    <x:row r="56">
      <x:c r="A56" s="14"/>
      <x:c r="B56" s="13"/>
      <x:c r="C56" s="18"/>
      <x:c r="D56" s="18"/>
      <x:c r="E56" s="19"/>
      <x:c r="F56" s="19"/>
      <x:c r="G56" s="19"/>
      <x:c r="H56" s="19"/>
      <x:c r="I56" s="20" t="n">
        <x:f>IF(OR(C56="",D56=""),0,MAX(0,(D56-C56)*24-E56))</x:f>
        <x:v>0</x:v>
      </x:c>
      <x:c r="J56" s="20" t="n">
        <x:f>MIN(I56,H56)</x:f>
        <x:v>0</x:v>
      </x:c>
      <x:c r="K56" s="20" t="n">
        <x:f>MAX(0,I56-H56)</x:f>
        <x:v>0</x:v>
      </x:c>
      <x:c r="L56" s="20" t="n">
        <x:f>IF(F56="Unpaid",G56,0)</x:f>
        <x:v>0</x:v>
      </x:c>
      <x:c r="M56" s="17" t="str">
        <x:f>IF(B56="","",IF(F56="Paid","مرخصی با حقوق",IF(F56="Unpaid","مرخصی بدون حقوق",IF(K56&gt;0,"اضافه‌کاری","عادی"))))</x:f>
      </x:c>
    </x:row>
    <x:row r="57">
      <x:c r="A57" s="14"/>
      <x:c r="B57" s="13"/>
      <x:c r="C57" s="18"/>
      <x:c r="D57" s="18"/>
      <x:c r="E57" s="19"/>
      <x:c r="F57" s="19"/>
      <x:c r="G57" s="19"/>
      <x:c r="H57" s="19"/>
      <x:c r="I57" s="20" t="n">
        <x:f>IF(OR(C57="",D57=""),0,MAX(0,(D57-C57)*24-E57))</x:f>
        <x:v>0</x:v>
      </x:c>
      <x:c r="J57" s="20" t="n">
        <x:f>MIN(I57,H57)</x:f>
        <x:v>0</x:v>
      </x:c>
      <x:c r="K57" s="20" t="n">
        <x:f>MAX(0,I57-H57)</x:f>
        <x:v>0</x:v>
      </x:c>
      <x:c r="L57" s="20" t="n">
        <x:f>IF(F57="Unpaid",G57,0)</x:f>
        <x:v>0</x:v>
      </x:c>
      <x:c r="M57" s="17" t="str">
        <x:f>IF(B57="","",IF(F57="Paid","مرخصی با حقوق",IF(F57="Unpaid","مرخصی بدون حقوق",IF(K57&gt;0,"اضافه‌کاری","عادی"))))</x:f>
      </x:c>
    </x:row>
    <x:row r="58">
      <x:c r="A58" s="14"/>
      <x:c r="B58" s="13"/>
      <x:c r="C58" s="18"/>
      <x:c r="D58" s="18"/>
      <x:c r="E58" s="19"/>
      <x:c r="F58" s="19"/>
      <x:c r="G58" s="19"/>
      <x:c r="H58" s="19"/>
      <x:c r="I58" s="20" t="n">
        <x:f>IF(OR(C58="",D58=""),0,MAX(0,(D58-C58)*24-E58))</x:f>
        <x:v>0</x:v>
      </x:c>
      <x:c r="J58" s="20" t="n">
        <x:f>MIN(I58,H58)</x:f>
        <x:v>0</x:v>
      </x:c>
      <x:c r="K58" s="20" t="n">
        <x:f>MAX(0,I58-H58)</x:f>
        <x:v>0</x:v>
      </x:c>
      <x:c r="L58" s="20" t="n">
        <x:f>IF(F58="Unpaid",G58,0)</x:f>
        <x:v>0</x:v>
      </x:c>
      <x:c r="M58" s="17" t="str">
        <x:f>IF(B58="","",IF(F58="Paid","مرخصی با حقوق",IF(F58="Unpaid","مرخصی بدون حقوق",IF(K58&gt;0,"اضافه‌کاری","عادی"))))</x:f>
      </x:c>
    </x:row>
    <x:row r="59">
      <x:c r="A59" s="14"/>
      <x:c r="B59" s="13"/>
      <x:c r="C59" s="18"/>
      <x:c r="D59" s="18"/>
      <x:c r="E59" s="19"/>
      <x:c r="F59" s="19"/>
      <x:c r="G59" s="19"/>
      <x:c r="H59" s="19"/>
      <x:c r="I59" s="20" t="n">
        <x:f>IF(OR(C59="",D59=""),0,MAX(0,(D59-C59)*24-E59))</x:f>
        <x:v>0</x:v>
      </x:c>
      <x:c r="J59" s="20" t="n">
        <x:f>MIN(I59,H59)</x:f>
        <x:v>0</x:v>
      </x:c>
      <x:c r="K59" s="20" t="n">
        <x:f>MAX(0,I59-H59)</x:f>
        <x:v>0</x:v>
      </x:c>
      <x:c r="L59" s="20" t="n">
        <x:f>IF(F59="Unpaid",G59,0)</x:f>
        <x:v>0</x:v>
      </x:c>
      <x:c r="M59" s="17" t="str">
        <x:f>IF(B59="","",IF(F59="Paid","مرخصی با حقوق",IF(F59="Unpaid","مرخصی بدون حقوق",IF(K59&gt;0,"اضافه‌کاری","عادی"))))</x:f>
      </x:c>
    </x:row>
    <x:row r="60">
      <x:c r="A60" s="14"/>
      <x:c r="B60" s="13"/>
      <x:c r="C60" s="18"/>
      <x:c r="D60" s="18"/>
      <x:c r="E60" s="19"/>
      <x:c r="F60" s="19"/>
      <x:c r="G60" s="19"/>
      <x:c r="H60" s="19"/>
      <x:c r="I60" s="20" t="n">
        <x:f>IF(OR(C60="",D60=""),0,MAX(0,(D60-C60)*24-E60))</x:f>
        <x:v>0</x:v>
      </x:c>
      <x:c r="J60" s="20" t="n">
        <x:f>MIN(I60,H60)</x:f>
        <x:v>0</x:v>
      </x:c>
      <x:c r="K60" s="20" t="n">
        <x:f>MAX(0,I60-H60)</x:f>
        <x:v>0</x:v>
      </x:c>
      <x:c r="L60" s="20" t="n">
        <x:f>IF(F60="Unpaid",G60,0)</x:f>
        <x:v>0</x:v>
      </x:c>
      <x:c r="M60" s="17" t="str">
        <x:f>IF(B60="","",IF(F60="Paid","مرخصی با حقوق",IF(F60="Unpaid","مرخصی بدون حقوق",IF(K60&gt;0,"اضافه‌کاری","عادی"))))</x:f>
      </x:c>
    </x:row>
    <x:row r="61">
      <x:c r="A61" s="14"/>
      <x:c r="B61" s="13"/>
      <x:c r="C61" s="18"/>
      <x:c r="D61" s="18"/>
      <x:c r="E61" s="19"/>
      <x:c r="F61" s="19"/>
      <x:c r="G61" s="19"/>
      <x:c r="H61" s="19"/>
      <x:c r="I61" s="20" t="n">
        <x:f>IF(OR(C61="",D61=""),0,MAX(0,(D61-C61)*24-E61))</x:f>
        <x:v>0</x:v>
      </x:c>
      <x:c r="J61" s="20" t="n">
        <x:f>MIN(I61,H61)</x:f>
        <x:v>0</x:v>
      </x:c>
      <x:c r="K61" s="20" t="n">
        <x:f>MAX(0,I61-H61)</x:f>
        <x:v>0</x:v>
      </x:c>
      <x:c r="L61" s="20" t="n">
        <x:f>IF(F61="Unpaid",G61,0)</x:f>
        <x:v>0</x:v>
      </x:c>
      <x:c r="M61" s="17" t="str">
        <x:f>IF(B61="","",IF(F61="Paid","مرخصی با حقوق",IF(F61="Unpaid","مرخصی بدون حقوق",IF(K61&gt;0,"اضافه‌کاری","عادی"))))</x:f>
      </x:c>
    </x:row>
    <x:row r="62">
      <x:c r="A62" s="14"/>
      <x:c r="B62" s="13"/>
      <x:c r="C62" s="18"/>
      <x:c r="D62" s="18"/>
      <x:c r="E62" s="19"/>
      <x:c r="F62" s="19"/>
      <x:c r="G62" s="19"/>
      <x:c r="H62" s="19"/>
      <x:c r="I62" s="20" t="n">
        <x:f>IF(OR(C62="",D62=""),0,MAX(0,(D62-C62)*24-E62))</x:f>
        <x:v>0</x:v>
      </x:c>
      <x:c r="J62" s="20" t="n">
        <x:f>MIN(I62,H62)</x:f>
        <x:v>0</x:v>
      </x:c>
      <x:c r="K62" s="20" t="n">
        <x:f>MAX(0,I62-H62)</x:f>
        <x:v>0</x:v>
      </x:c>
      <x:c r="L62" s="20" t="n">
        <x:f>IF(F62="Unpaid",G62,0)</x:f>
        <x:v>0</x:v>
      </x:c>
      <x:c r="M62" s="17" t="str">
        <x:f>IF(B62="","",IF(F62="Paid","مرخصی با حقوق",IF(F62="Unpaid","مرخصی بدون حقوق",IF(K62&gt;0,"اضافه‌کاری","عادی"))))</x:f>
      </x:c>
    </x:row>
    <x:row r="63">
      <x:c r="A63" s="14"/>
      <x:c r="B63" s="13"/>
      <x:c r="C63" s="18"/>
      <x:c r="D63" s="18"/>
      <x:c r="E63" s="19"/>
      <x:c r="F63" s="19"/>
      <x:c r="G63" s="19"/>
      <x:c r="H63" s="19"/>
      <x:c r="I63" s="20" t="n">
        <x:f>IF(OR(C63="",D63=""),0,MAX(0,(D63-C63)*24-E63))</x:f>
        <x:v>0</x:v>
      </x:c>
      <x:c r="J63" s="20" t="n">
        <x:f>MIN(I63,H63)</x:f>
        <x:v>0</x:v>
      </x:c>
      <x:c r="K63" s="20" t="n">
        <x:f>MAX(0,I63-H63)</x:f>
        <x:v>0</x:v>
      </x:c>
      <x:c r="L63" s="20" t="n">
        <x:f>IF(F63="Unpaid",G63,0)</x:f>
        <x:v>0</x:v>
      </x:c>
      <x:c r="M63" s="17" t="str">
        <x:f>IF(B63="","",IF(F63="Paid","مرخصی با حقوق",IF(F63="Unpaid","مرخصی بدون حقوق",IF(K63&gt;0,"اضافه‌کاری","عادی"))))</x:f>
      </x:c>
    </x:row>
    <x:row r="64">
      <x:c r="A64" s="14"/>
      <x:c r="B64" s="13"/>
      <x:c r="C64" s="18"/>
      <x:c r="D64" s="18"/>
      <x:c r="E64" s="19"/>
      <x:c r="F64" s="19"/>
      <x:c r="G64" s="19"/>
      <x:c r="H64" s="19"/>
      <x:c r="I64" s="20" t="n">
        <x:f>IF(OR(C64="",D64=""),0,MAX(0,(D64-C64)*24-E64))</x:f>
        <x:v>0</x:v>
      </x:c>
      <x:c r="J64" s="20" t="n">
        <x:f>MIN(I64,H64)</x:f>
        <x:v>0</x:v>
      </x:c>
      <x:c r="K64" s="20" t="n">
        <x:f>MAX(0,I64-H64)</x:f>
        <x:v>0</x:v>
      </x:c>
      <x:c r="L64" s="20" t="n">
        <x:f>IF(F64="Unpaid",G64,0)</x:f>
        <x:v>0</x:v>
      </x:c>
      <x:c r="M64" s="17" t="str">
        <x:f>IF(B64="","",IF(F64="Paid","مرخصی با حقوق",IF(F64="Unpaid","مرخصی بدون حقوق",IF(K64&gt;0,"اضافه‌کاری","عادی"))))</x:f>
      </x:c>
    </x:row>
    <x:row r="65">
      <x:c r="A65" s="14"/>
      <x:c r="B65" s="13"/>
      <x:c r="C65" s="18"/>
      <x:c r="D65" s="18"/>
      <x:c r="E65" s="19"/>
      <x:c r="F65" s="19"/>
      <x:c r="G65" s="19"/>
      <x:c r="H65" s="19"/>
      <x:c r="I65" s="20" t="n">
        <x:f>IF(OR(C65="",D65=""),0,MAX(0,(D65-C65)*24-E65))</x:f>
        <x:v>0</x:v>
      </x:c>
      <x:c r="J65" s="20" t="n">
        <x:f>MIN(I65,H65)</x:f>
        <x:v>0</x:v>
      </x:c>
      <x:c r="K65" s="20" t="n">
        <x:f>MAX(0,I65-H65)</x:f>
        <x:v>0</x:v>
      </x:c>
      <x:c r="L65" s="20" t="n">
        <x:f>IF(F65="Unpaid",G65,0)</x:f>
        <x:v>0</x:v>
      </x:c>
      <x:c r="M65" s="17" t="str">
        <x:f>IF(B65="","",IF(F65="Paid","مرخصی با حقوق",IF(F65="Unpaid","مرخصی بدون حقوق",IF(K65&gt;0,"اضافه‌کاری","عادی"))))</x:f>
      </x:c>
    </x:row>
    <x:row r="66">
      <x:c r="A66" s="14"/>
      <x:c r="B66" s="13"/>
      <x:c r="C66" s="18"/>
      <x:c r="D66" s="18"/>
      <x:c r="E66" s="19"/>
      <x:c r="F66" s="19"/>
      <x:c r="G66" s="19"/>
      <x:c r="H66" s="19"/>
      <x:c r="I66" s="20" t="n">
        <x:f>IF(OR(C66="",D66=""),0,MAX(0,(D66-C66)*24-E66))</x:f>
        <x:v>0</x:v>
      </x:c>
      <x:c r="J66" s="20" t="n">
        <x:f>MIN(I66,H66)</x:f>
        <x:v>0</x:v>
      </x:c>
      <x:c r="K66" s="20" t="n">
        <x:f>MAX(0,I66-H66)</x:f>
        <x:v>0</x:v>
      </x:c>
      <x:c r="L66" s="20" t="n">
        <x:f>IF(F66="Unpaid",G66,0)</x:f>
        <x:v>0</x:v>
      </x:c>
      <x:c r="M66" s="17" t="str">
        <x:f>IF(B66="","",IF(F66="Paid","مرخصی با حقوق",IF(F66="Unpaid","مرخصی بدون حقوق",IF(K66&gt;0,"اضافه‌کاری","عادی"))))</x:f>
      </x:c>
    </x:row>
    <x:row r="67">
      <x:c r="A67" s="14"/>
      <x:c r="B67" s="13"/>
      <x:c r="C67" s="18"/>
      <x:c r="D67" s="18"/>
      <x:c r="E67" s="19"/>
      <x:c r="F67" s="19"/>
      <x:c r="G67" s="19"/>
      <x:c r="H67" s="19"/>
      <x:c r="I67" s="20" t="n">
        <x:f>IF(OR(C67="",D67=""),0,MAX(0,(D67-C67)*24-E67))</x:f>
        <x:v>0</x:v>
      </x:c>
      <x:c r="J67" s="20" t="n">
        <x:f>MIN(I67,H67)</x:f>
        <x:v>0</x:v>
      </x:c>
      <x:c r="K67" s="20" t="n">
        <x:f>MAX(0,I67-H67)</x:f>
        <x:v>0</x:v>
      </x:c>
      <x:c r="L67" s="20" t="n">
        <x:f>IF(F67="Unpaid",G67,0)</x:f>
        <x:v>0</x:v>
      </x:c>
      <x:c r="M67" s="17" t="str">
        <x:f>IF(B67="","",IF(F67="Paid","مرخصی با حقوق",IF(F67="Unpaid","مرخصی بدون حقوق",IF(K67&gt;0,"اضافه‌کاری","عادی"))))</x:f>
      </x:c>
    </x:row>
    <x:row r="68">
      <x:c r="A68" s="14"/>
      <x:c r="B68" s="13"/>
      <x:c r="C68" s="18"/>
      <x:c r="D68" s="18"/>
      <x:c r="E68" s="19"/>
      <x:c r="F68" s="19"/>
      <x:c r="G68" s="19"/>
      <x:c r="H68" s="19"/>
      <x:c r="I68" s="20" t="n">
        <x:f>IF(OR(C68="",D68=""),0,MAX(0,(D68-C68)*24-E68))</x:f>
        <x:v>0</x:v>
      </x:c>
      <x:c r="J68" s="20" t="n">
        <x:f>MIN(I68,H68)</x:f>
        <x:v>0</x:v>
      </x:c>
      <x:c r="K68" s="20" t="n">
        <x:f>MAX(0,I68-H68)</x:f>
        <x:v>0</x:v>
      </x:c>
      <x:c r="L68" s="20" t="n">
        <x:f>IF(F68="Unpaid",G68,0)</x:f>
        <x:v>0</x:v>
      </x:c>
      <x:c r="M68" s="17" t="str">
        <x:f>IF(B68="","",IF(F68="Paid","مرخصی با حقوق",IF(F68="Unpaid","مرخصی بدون حقوق",IF(K68&gt;0,"اضافه‌کاری","عادی"))))</x:f>
      </x:c>
    </x:row>
    <x:row r="69">
      <x:c r="A69" s="14"/>
      <x:c r="B69" s="13"/>
      <x:c r="C69" s="18"/>
      <x:c r="D69" s="18"/>
      <x:c r="E69" s="19"/>
      <x:c r="F69" s="19"/>
      <x:c r="G69" s="19"/>
      <x:c r="H69" s="19"/>
      <x:c r="I69" s="20" t="n">
        <x:f>IF(OR(C69="",D69=""),0,MAX(0,(D69-C69)*24-E69))</x:f>
        <x:v>0</x:v>
      </x:c>
      <x:c r="J69" s="20" t="n">
        <x:f>MIN(I69,H69)</x:f>
        <x:v>0</x:v>
      </x:c>
      <x:c r="K69" s="20" t="n">
        <x:f>MAX(0,I69-H69)</x:f>
        <x:v>0</x:v>
      </x:c>
      <x:c r="L69" s="20" t="n">
        <x:f>IF(F69="Unpaid",G69,0)</x:f>
        <x:v>0</x:v>
      </x:c>
      <x:c r="M69" s="17" t="str">
        <x:f>IF(B69="","",IF(F69="Paid","مرخصی با حقوق",IF(F69="Unpaid","مرخصی بدون حقوق",IF(K69&gt;0,"اضافه‌کاری","عادی"))))</x:f>
      </x:c>
    </x:row>
    <x:row r="70">
      <x:c r="A70" s="14"/>
      <x:c r="B70" s="13"/>
      <x:c r="C70" s="18"/>
      <x:c r="D70" s="18"/>
      <x:c r="E70" s="19"/>
      <x:c r="F70" s="19"/>
      <x:c r="G70" s="19"/>
      <x:c r="H70" s="19"/>
      <x:c r="I70" s="20" t="n">
        <x:f>IF(OR(C70="",D70=""),0,MAX(0,(D70-C70)*24-E70))</x:f>
        <x:v>0</x:v>
      </x:c>
      <x:c r="J70" s="20" t="n">
        <x:f>MIN(I70,H70)</x:f>
        <x:v>0</x:v>
      </x:c>
      <x:c r="K70" s="20" t="n">
        <x:f>MAX(0,I70-H70)</x:f>
        <x:v>0</x:v>
      </x:c>
      <x:c r="L70" s="20" t="n">
        <x:f>IF(F70="Unpaid",G70,0)</x:f>
        <x:v>0</x:v>
      </x:c>
      <x:c r="M70" s="17" t="str">
        <x:f>IF(B70="","",IF(F70="Paid","مرخصی با حقوق",IF(F70="Unpaid","مرخصی بدون حقوق",IF(K70&gt;0,"اضافه‌کاری","عادی"))))</x:f>
      </x:c>
    </x:row>
    <x:row r="71">
      <x:c r="A71" s="14"/>
      <x:c r="B71" s="13"/>
      <x:c r="C71" s="18"/>
      <x:c r="D71" s="18"/>
      <x:c r="E71" s="19"/>
      <x:c r="F71" s="19"/>
      <x:c r="G71" s="19"/>
      <x:c r="H71" s="19"/>
      <x:c r="I71" s="20" t="n">
        <x:f>IF(OR(C71="",D71=""),0,MAX(0,(D71-C71)*24-E71))</x:f>
        <x:v>0</x:v>
      </x:c>
      <x:c r="J71" s="20" t="n">
        <x:f>MIN(I71,H71)</x:f>
        <x:v>0</x:v>
      </x:c>
      <x:c r="K71" s="20" t="n">
        <x:f>MAX(0,I71-H71)</x:f>
        <x:v>0</x:v>
      </x:c>
      <x:c r="L71" s="20" t="n">
        <x:f>IF(F71="Unpaid",G71,0)</x:f>
        <x:v>0</x:v>
      </x:c>
      <x:c r="M71" s="17" t="str">
        <x:f>IF(B71="","",IF(F71="Paid","مرخصی با حقوق",IF(F71="Unpaid","مرخصی بدون حقوق",IF(K71&gt;0,"اضافه‌کاری","عادی"))))</x:f>
      </x:c>
    </x:row>
    <x:row r="72">
      <x:c r="A72" s="14"/>
      <x:c r="B72" s="13"/>
      <x:c r="C72" s="18"/>
      <x:c r="D72" s="18"/>
      <x:c r="E72" s="19"/>
      <x:c r="F72" s="19"/>
      <x:c r="G72" s="19"/>
      <x:c r="H72" s="19"/>
      <x:c r="I72" s="20" t="n">
        <x:f>IF(OR(C72="",D72=""),0,MAX(0,(D72-C72)*24-E72))</x:f>
        <x:v>0</x:v>
      </x:c>
      <x:c r="J72" s="20" t="n">
        <x:f>MIN(I72,H72)</x:f>
        <x:v>0</x:v>
      </x:c>
      <x:c r="K72" s="20" t="n">
        <x:f>MAX(0,I72-H72)</x:f>
        <x:v>0</x:v>
      </x:c>
      <x:c r="L72" s="20" t="n">
        <x:f>IF(F72="Unpaid",G72,0)</x:f>
        <x:v>0</x:v>
      </x:c>
      <x:c r="M72" s="17" t="str">
        <x:f>IF(B72="","",IF(F72="Paid","مرخصی با حقوق",IF(F72="Unpaid","مرخصی بدون حقوق",IF(K72&gt;0,"اضافه‌کاری","عادی"))))</x:f>
      </x:c>
    </x:row>
    <x:row r="73">
      <x:c r="A73" s="14"/>
      <x:c r="B73" s="13"/>
      <x:c r="C73" s="18"/>
      <x:c r="D73" s="18"/>
      <x:c r="E73" s="19"/>
      <x:c r="F73" s="19"/>
      <x:c r="G73" s="19"/>
      <x:c r="H73" s="19"/>
      <x:c r="I73" s="20" t="n">
        <x:f>IF(OR(C73="",D73=""),0,MAX(0,(D73-C73)*24-E73))</x:f>
        <x:v>0</x:v>
      </x:c>
      <x:c r="J73" s="20" t="n">
        <x:f>MIN(I73,H73)</x:f>
        <x:v>0</x:v>
      </x:c>
      <x:c r="K73" s="20" t="n">
        <x:f>MAX(0,I73-H73)</x:f>
        <x:v>0</x:v>
      </x:c>
      <x:c r="L73" s="20" t="n">
        <x:f>IF(F73="Unpaid",G73,0)</x:f>
        <x:v>0</x:v>
      </x:c>
      <x:c r="M73" s="17" t="str">
        <x:f>IF(B73="","",IF(F73="Paid","مرخصی با حقوق",IF(F73="Unpaid","مرخصی بدون حقوق",IF(K73&gt;0,"اضافه‌کاری","عادی"))))</x:f>
      </x:c>
    </x:row>
    <x:row r="74">
      <x:c r="A74" s="14"/>
      <x:c r="B74" s="13"/>
      <x:c r="C74" s="18"/>
      <x:c r="D74" s="18"/>
      <x:c r="E74" s="19"/>
      <x:c r="F74" s="19"/>
      <x:c r="G74" s="19"/>
      <x:c r="H74" s="19"/>
      <x:c r="I74" s="20" t="n">
        <x:f>IF(OR(C74="",D74=""),0,MAX(0,(D74-C74)*24-E74))</x:f>
        <x:v>0</x:v>
      </x:c>
      <x:c r="J74" s="20" t="n">
        <x:f>MIN(I74,H74)</x:f>
        <x:v>0</x:v>
      </x:c>
      <x:c r="K74" s="20" t="n">
        <x:f>MAX(0,I74-H74)</x:f>
        <x:v>0</x:v>
      </x:c>
      <x:c r="L74" s="20" t="n">
        <x:f>IF(F74="Unpaid",G74,0)</x:f>
        <x:v>0</x:v>
      </x:c>
      <x:c r="M74" s="17" t="str">
        <x:f>IF(B74="","",IF(F74="Paid","مرخصی با حقوق",IF(F74="Unpaid","مرخصی بدون حقوق",IF(K74&gt;0,"اضافه‌کاری","عادی"))))</x:f>
      </x:c>
    </x:row>
    <x:row r="75">
      <x:c r="A75" s="14"/>
      <x:c r="B75" s="13"/>
      <x:c r="C75" s="18"/>
      <x:c r="D75" s="18"/>
      <x:c r="E75" s="19"/>
      <x:c r="F75" s="19"/>
      <x:c r="G75" s="19"/>
      <x:c r="H75" s="19"/>
      <x:c r="I75" s="20" t="n">
        <x:f>IF(OR(C75="",D75=""),0,MAX(0,(D75-C75)*24-E75))</x:f>
        <x:v>0</x:v>
      </x:c>
      <x:c r="J75" s="20" t="n">
        <x:f>MIN(I75,H75)</x:f>
        <x:v>0</x:v>
      </x:c>
      <x:c r="K75" s="20" t="n">
        <x:f>MAX(0,I75-H75)</x:f>
        <x:v>0</x:v>
      </x:c>
      <x:c r="L75" s="20" t="n">
        <x:f>IF(F75="Unpaid",G75,0)</x:f>
        <x:v>0</x:v>
      </x:c>
      <x:c r="M75" s="17" t="str">
        <x:f>IF(B75="","",IF(F75="Paid","مرخصی با حقوق",IF(F75="Unpaid","مرخصی بدون حقوق",IF(K75&gt;0,"اضافه‌کاری","عادی"))))</x:f>
      </x:c>
    </x:row>
    <x:row r="76">
      <x:c r="A76" s="14"/>
      <x:c r="B76" s="13"/>
      <x:c r="C76" s="18"/>
      <x:c r="D76" s="18"/>
      <x:c r="E76" s="19"/>
      <x:c r="F76" s="19"/>
      <x:c r="G76" s="19"/>
      <x:c r="H76" s="19"/>
      <x:c r="I76" s="20" t="n">
        <x:f>IF(OR(C76="",D76=""),0,MAX(0,(D76-C76)*24-E76))</x:f>
        <x:v>0</x:v>
      </x:c>
      <x:c r="J76" s="20" t="n">
        <x:f>MIN(I76,H76)</x:f>
        <x:v>0</x:v>
      </x:c>
      <x:c r="K76" s="20" t="n">
        <x:f>MAX(0,I76-H76)</x:f>
        <x:v>0</x:v>
      </x:c>
      <x:c r="L76" s="20" t="n">
        <x:f>IF(F76="Unpaid",G76,0)</x:f>
        <x:v>0</x:v>
      </x:c>
      <x:c r="M76" s="17" t="str">
        <x:f>IF(B76="","",IF(F76="Paid","مرخصی با حقوق",IF(F76="Unpaid","مرخصی بدون حقوق",IF(K76&gt;0,"اضافه‌کاری","عادی"))))</x:f>
      </x:c>
    </x:row>
    <x:row r="77">
      <x:c r="A77" s="14"/>
      <x:c r="B77" s="13"/>
      <x:c r="C77" s="18"/>
      <x:c r="D77" s="18"/>
      <x:c r="E77" s="19"/>
      <x:c r="F77" s="19"/>
      <x:c r="G77" s="19"/>
      <x:c r="H77" s="19"/>
      <x:c r="I77" s="20" t="n">
        <x:f>IF(OR(C77="",D77=""),0,MAX(0,(D77-C77)*24-E77))</x:f>
        <x:v>0</x:v>
      </x:c>
      <x:c r="J77" s="20" t="n">
        <x:f>MIN(I77,H77)</x:f>
        <x:v>0</x:v>
      </x:c>
      <x:c r="K77" s="20" t="n">
        <x:f>MAX(0,I77-H77)</x:f>
        <x:v>0</x:v>
      </x:c>
      <x:c r="L77" s="20" t="n">
        <x:f>IF(F77="Unpaid",G77,0)</x:f>
        <x:v>0</x:v>
      </x:c>
      <x:c r="M77" s="17" t="str">
        <x:f>IF(B77="","",IF(F77="Paid","مرخصی با حقوق",IF(F77="Unpaid","مرخصی بدون حقوق",IF(K77&gt;0,"اضافه‌کاری","عادی"))))</x:f>
      </x:c>
    </x:row>
    <x:row r="78">
      <x:c r="A78" s="14"/>
      <x:c r="B78" s="13"/>
      <x:c r="C78" s="18"/>
      <x:c r="D78" s="18"/>
      <x:c r="E78" s="19"/>
      <x:c r="F78" s="19"/>
      <x:c r="G78" s="19"/>
      <x:c r="H78" s="19"/>
      <x:c r="I78" s="20" t="n">
        <x:f>IF(OR(C78="",D78=""),0,MAX(0,(D78-C78)*24-E78))</x:f>
        <x:v>0</x:v>
      </x:c>
      <x:c r="J78" s="20" t="n">
        <x:f>MIN(I78,H78)</x:f>
        <x:v>0</x:v>
      </x:c>
      <x:c r="K78" s="20" t="n">
        <x:f>MAX(0,I78-H78)</x:f>
        <x:v>0</x:v>
      </x:c>
      <x:c r="L78" s="20" t="n">
        <x:f>IF(F78="Unpaid",G78,0)</x:f>
        <x:v>0</x:v>
      </x:c>
      <x:c r="M78" s="17" t="str">
        <x:f>IF(B78="","",IF(F78="Paid","مرخصی با حقوق",IF(F78="Unpaid","مرخصی بدون حقوق",IF(K78&gt;0,"اضافه‌کاری","عادی"))))</x:f>
      </x:c>
    </x:row>
    <x:row r="79">
      <x:c r="A79" s="14"/>
      <x:c r="B79" s="13"/>
      <x:c r="C79" s="18"/>
      <x:c r="D79" s="18"/>
      <x:c r="E79" s="19"/>
      <x:c r="F79" s="19"/>
      <x:c r="G79" s="19"/>
      <x:c r="H79" s="19"/>
      <x:c r="I79" s="20" t="n">
        <x:f>IF(OR(C79="",D79=""),0,MAX(0,(D79-C79)*24-E79))</x:f>
        <x:v>0</x:v>
      </x:c>
      <x:c r="J79" s="20" t="n">
        <x:f>MIN(I79,H79)</x:f>
        <x:v>0</x:v>
      </x:c>
      <x:c r="K79" s="20" t="n">
        <x:f>MAX(0,I79-H79)</x:f>
        <x:v>0</x:v>
      </x:c>
      <x:c r="L79" s="20" t="n">
        <x:f>IF(F79="Unpaid",G79,0)</x:f>
        <x:v>0</x:v>
      </x:c>
      <x:c r="M79" s="17" t="str">
        <x:f>IF(B79="","",IF(F79="Paid","مرخصی با حقوق",IF(F79="Unpaid","مرخصی بدون حقوق",IF(K79&gt;0,"اضافه‌کاری","عادی"))))</x:f>
      </x:c>
    </x:row>
    <x:row r="80">
      <x:c r="A80" s="14"/>
      <x:c r="B80" s="13"/>
      <x:c r="C80" s="18"/>
      <x:c r="D80" s="18"/>
      <x:c r="E80" s="19"/>
      <x:c r="F80" s="19"/>
      <x:c r="G80" s="19"/>
      <x:c r="H80" s="19"/>
      <x:c r="I80" s="20" t="n">
        <x:f>IF(OR(C80="",D80=""),0,MAX(0,(D80-C80)*24-E80))</x:f>
        <x:v>0</x:v>
      </x:c>
      <x:c r="J80" s="20" t="n">
        <x:f>MIN(I80,H80)</x:f>
        <x:v>0</x:v>
      </x:c>
      <x:c r="K80" s="20" t="n">
        <x:f>MAX(0,I80-H80)</x:f>
        <x:v>0</x:v>
      </x:c>
      <x:c r="L80" s="20" t="n">
        <x:f>IF(F80="Unpaid",G80,0)</x:f>
        <x:v>0</x:v>
      </x:c>
      <x:c r="M80" s="17" t="str">
        <x:f>IF(B80="","",IF(F80="Paid","مرخصی با حقوق",IF(F80="Unpaid","مرخصی بدون حقوق",IF(K80&gt;0,"اضافه‌کاری","عادی"))))</x:f>
      </x:c>
    </x:row>
    <x:row r="81">
      <x:c r="A81" s="14"/>
      <x:c r="B81" s="13"/>
      <x:c r="C81" s="18"/>
      <x:c r="D81" s="18"/>
      <x:c r="E81" s="19"/>
      <x:c r="F81" s="19"/>
      <x:c r="G81" s="19"/>
      <x:c r="H81" s="19"/>
      <x:c r="I81" s="20" t="n">
        <x:f>IF(OR(C81="",D81=""),0,MAX(0,(D81-C81)*24-E81))</x:f>
        <x:v>0</x:v>
      </x:c>
      <x:c r="J81" s="20" t="n">
        <x:f>MIN(I81,H81)</x:f>
        <x:v>0</x:v>
      </x:c>
      <x:c r="K81" s="20" t="n">
        <x:f>MAX(0,I81-H81)</x:f>
        <x:v>0</x:v>
      </x:c>
      <x:c r="L81" s="20" t="n">
        <x:f>IF(F81="Unpaid",G81,0)</x:f>
        <x:v>0</x:v>
      </x:c>
      <x:c r="M81" s="17" t="str">
        <x:f>IF(B81="","",IF(F81="Paid","مرخصی با حقوق",IF(F81="Unpaid","مرخصی بدون حقوق",IF(K81&gt;0,"اضافه‌کاری","عادی"))))</x:f>
      </x:c>
    </x:row>
    <x:row r="82">
      <x:c r="A82" s="14"/>
      <x:c r="B82" s="13"/>
      <x:c r="C82" s="18"/>
      <x:c r="D82" s="18"/>
      <x:c r="E82" s="19"/>
      <x:c r="F82" s="19"/>
      <x:c r="G82" s="19"/>
      <x:c r="H82" s="19"/>
      <x:c r="I82" s="20" t="n">
        <x:f>IF(OR(C82="",D82=""),0,MAX(0,(D82-C82)*24-E82))</x:f>
        <x:v>0</x:v>
      </x:c>
      <x:c r="J82" s="20" t="n">
        <x:f>MIN(I82,H82)</x:f>
        <x:v>0</x:v>
      </x:c>
      <x:c r="K82" s="20" t="n">
        <x:f>MAX(0,I82-H82)</x:f>
        <x:v>0</x:v>
      </x:c>
      <x:c r="L82" s="20" t="n">
        <x:f>IF(F82="Unpaid",G82,0)</x:f>
        <x:v>0</x:v>
      </x:c>
      <x:c r="M82" s="17" t="str">
        <x:f>IF(B82="","",IF(F82="Paid","مرخصی با حقوق",IF(F82="Unpaid","مرخصی بدون حقوق",IF(K82&gt;0,"اضافه‌کاری","عادی"))))</x:f>
      </x:c>
    </x:row>
    <x:row r="83">
      <x:c r="A83" s="14"/>
      <x:c r="B83" s="13"/>
      <x:c r="C83" s="18"/>
      <x:c r="D83" s="18"/>
      <x:c r="E83" s="19"/>
      <x:c r="F83" s="19"/>
      <x:c r="G83" s="19"/>
      <x:c r="H83" s="19"/>
      <x:c r="I83" s="20" t="n">
        <x:f>IF(OR(C83="",D83=""),0,MAX(0,(D83-C83)*24-E83))</x:f>
        <x:v>0</x:v>
      </x:c>
      <x:c r="J83" s="20" t="n">
        <x:f>MIN(I83,H83)</x:f>
        <x:v>0</x:v>
      </x:c>
      <x:c r="K83" s="20" t="n">
        <x:f>MAX(0,I83-H83)</x:f>
        <x:v>0</x:v>
      </x:c>
      <x:c r="L83" s="20" t="n">
        <x:f>IF(F83="Unpaid",G83,0)</x:f>
        <x:v>0</x:v>
      </x:c>
      <x:c r="M83" s="17" t="str">
        <x:f>IF(B83="","",IF(F83="Paid","مرخصی با حقوق",IF(F83="Unpaid","مرخصی بدون حقوق",IF(K83&gt;0,"اضافه‌کاری","عادی"))))</x:f>
      </x:c>
    </x:row>
    <x:row r="84">
      <x:c r="A84" s="14"/>
      <x:c r="B84" s="13"/>
      <x:c r="C84" s="18"/>
      <x:c r="D84" s="18"/>
      <x:c r="E84" s="19"/>
      <x:c r="F84" s="19"/>
      <x:c r="G84" s="19"/>
      <x:c r="H84" s="19"/>
      <x:c r="I84" s="20" t="n">
        <x:f>IF(OR(C84="",D84=""),0,MAX(0,(D84-C84)*24-E84))</x:f>
        <x:v>0</x:v>
      </x:c>
      <x:c r="J84" s="20" t="n">
        <x:f>MIN(I84,H84)</x:f>
        <x:v>0</x:v>
      </x:c>
      <x:c r="K84" s="20" t="n">
        <x:f>MAX(0,I84-H84)</x:f>
        <x:v>0</x:v>
      </x:c>
      <x:c r="L84" s="20" t="n">
        <x:f>IF(F84="Unpaid",G84,0)</x:f>
        <x:v>0</x:v>
      </x:c>
      <x:c r="M84" s="17" t="str">
        <x:f>IF(B84="","",IF(F84="Paid","مرخصی با حقوق",IF(F84="Unpaid","مرخصی بدون حقوق",IF(K84&gt;0,"اضافه‌کاری","عادی"))))</x:f>
      </x:c>
    </x:row>
    <x:row r="85">
      <x:c r="A85" s="14"/>
      <x:c r="B85" s="13"/>
      <x:c r="C85" s="18"/>
      <x:c r="D85" s="18"/>
      <x:c r="E85" s="19"/>
      <x:c r="F85" s="19"/>
      <x:c r="G85" s="19"/>
      <x:c r="H85" s="19"/>
      <x:c r="I85" s="20" t="n">
        <x:f>IF(OR(C85="",D85=""),0,MAX(0,(D85-C85)*24-E85))</x:f>
        <x:v>0</x:v>
      </x:c>
      <x:c r="J85" s="20" t="n">
        <x:f>MIN(I85,H85)</x:f>
        <x:v>0</x:v>
      </x:c>
      <x:c r="K85" s="20" t="n">
        <x:f>MAX(0,I85-H85)</x:f>
        <x:v>0</x:v>
      </x:c>
      <x:c r="L85" s="20" t="n">
        <x:f>IF(F85="Unpaid",G85,0)</x:f>
        <x:v>0</x:v>
      </x:c>
      <x:c r="M85" s="17" t="str">
        <x:f>IF(B85="","",IF(F85="Paid","مرخصی با حقوق",IF(F85="Unpaid","مرخصی بدون حقوق",IF(K85&gt;0,"اضافه‌کاری","عادی"))))</x:f>
      </x:c>
    </x:row>
    <x:row r="86">
      <x:c r="A86" s="14"/>
      <x:c r="B86" s="13"/>
      <x:c r="C86" s="18"/>
      <x:c r="D86" s="18"/>
      <x:c r="E86" s="19"/>
      <x:c r="F86" s="19"/>
      <x:c r="G86" s="19"/>
      <x:c r="H86" s="19"/>
      <x:c r="I86" s="20" t="n">
        <x:f>IF(OR(C86="",D86=""),0,MAX(0,(D86-C86)*24-E86))</x:f>
        <x:v>0</x:v>
      </x:c>
      <x:c r="J86" s="20" t="n">
        <x:f>MIN(I86,H86)</x:f>
        <x:v>0</x:v>
      </x:c>
      <x:c r="K86" s="20" t="n">
        <x:f>MAX(0,I86-H86)</x:f>
        <x:v>0</x:v>
      </x:c>
      <x:c r="L86" s="20" t="n">
        <x:f>IF(F86="Unpaid",G86,0)</x:f>
        <x:v>0</x:v>
      </x:c>
      <x:c r="M86" s="17" t="str">
        <x:f>IF(B86="","",IF(F86="Paid","مرخصی با حقوق",IF(F86="Unpaid","مرخصی بدون حقوق",IF(K86&gt;0,"اضافه‌کاری","عادی"))))</x:f>
      </x:c>
    </x:row>
    <x:row r="87">
      <x:c r="A87" s="14"/>
      <x:c r="B87" s="13"/>
      <x:c r="C87" s="18"/>
      <x:c r="D87" s="18"/>
      <x:c r="E87" s="19"/>
      <x:c r="F87" s="19"/>
      <x:c r="G87" s="19"/>
      <x:c r="H87" s="19"/>
      <x:c r="I87" s="20" t="n">
        <x:f>IF(OR(C87="",D87=""),0,MAX(0,(D87-C87)*24-E87))</x:f>
        <x:v>0</x:v>
      </x:c>
      <x:c r="J87" s="20" t="n">
        <x:f>MIN(I87,H87)</x:f>
        <x:v>0</x:v>
      </x:c>
      <x:c r="K87" s="20" t="n">
        <x:f>MAX(0,I87-H87)</x:f>
        <x:v>0</x:v>
      </x:c>
      <x:c r="L87" s="20" t="n">
        <x:f>IF(F87="Unpaid",G87,0)</x:f>
        <x:v>0</x:v>
      </x:c>
      <x:c r="M87" s="17" t="str">
        <x:f>IF(B87="","",IF(F87="Paid","مرخصی با حقوق",IF(F87="Unpaid","مرخصی بدون حقوق",IF(K87&gt;0,"اضافه‌کاری","عادی"))))</x:f>
      </x:c>
    </x:row>
    <x:row r="88">
      <x:c r="A88" s="14"/>
      <x:c r="B88" s="13"/>
      <x:c r="C88" s="18"/>
      <x:c r="D88" s="18"/>
      <x:c r="E88" s="19"/>
      <x:c r="F88" s="19"/>
      <x:c r="G88" s="19"/>
      <x:c r="H88" s="19"/>
      <x:c r="I88" s="20" t="n">
        <x:f>IF(OR(C88="",D88=""),0,MAX(0,(D88-C88)*24-E88))</x:f>
        <x:v>0</x:v>
      </x:c>
      <x:c r="J88" s="20" t="n">
        <x:f>MIN(I88,H88)</x:f>
        <x:v>0</x:v>
      </x:c>
      <x:c r="K88" s="20" t="n">
        <x:f>MAX(0,I88-H88)</x:f>
        <x:v>0</x:v>
      </x:c>
      <x:c r="L88" s="20" t="n">
        <x:f>IF(F88="Unpaid",G88,0)</x:f>
        <x:v>0</x:v>
      </x:c>
      <x:c r="M88" s="17" t="str">
        <x:f>IF(B88="","",IF(F88="Paid","مرخصی با حقوق",IF(F88="Unpaid","مرخصی بدون حقوق",IF(K88&gt;0,"اضافه‌کاری","عادی"))))</x:f>
      </x:c>
    </x:row>
    <x:row r="89">
      <x:c r="A89" s="14"/>
      <x:c r="B89" s="13"/>
      <x:c r="C89" s="18"/>
      <x:c r="D89" s="18"/>
      <x:c r="E89" s="19"/>
      <x:c r="F89" s="19"/>
      <x:c r="G89" s="19"/>
      <x:c r="H89" s="19"/>
      <x:c r="I89" s="20" t="n">
        <x:f>IF(OR(C89="",D89=""),0,MAX(0,(D89-C89)*24-E89))</x:f>
        <x:v>0</x:v>
      </x:c>
      <x:c r="J89" s="20" t="n">
        <x:f>MIN(I89,H89)</x:f>
        <x:v>0</x:v>
      </x:c>
      <x:c r="K89" s="20" t="n">
        <x:f>MAX(0,I89-H89)</x:f>
        <x:v>0</x:v>
      </x:c>
      <x:c r="L89" s="20" t="n">
        <x:f>IF(F89="Unpaid",G89,0)</x:f>
        <x:v>0</x:v>
      </x:c>
      <x:c r="M89" s="17" t="str">
        <x:f>IF(B89="","",IF(F89="Paid","مرخصی با حقوق",IF(F89="Unpaid","مرخصی بدون حقوق",IF(K89&gt;0,"اضافه‌کاری","عادی"))))</x:f>
      </x:c>
    </x:row>
    <x:row r="90">
      <x:c r="A90" s="14"/>
      <x:c r="B90" s="13"/>
      <x:c r="C90" s="18"/>
      <x:c r="D90" s="18"/>
      <x:c r="E90" s="19"/>
      <x:c r="F90" s="19"/>
      <x:c r="G90" s="19"/>
      <x:c r="H90" s="19"/>
      <x:c r="I90" s="20" t="n">
        <x:f>IF(OR(C90="",D90=""),0,MAX(0,(D90-C90)*24-E90))</x:f>
        <x:v>0</x:v>
      </x:c>
      <x:c r="J90" s="20" t="n">
        <x:f>MIN(I90,H90)</x:f>
        <x:v>0</x:v>
      </x:c>
      <x:c r="K90" s="20" t="n">
        <x:f>MAX(0,I90-H90)</x:f>
        <x:v>0</x:v>
      </x:c>
      <x:c r="L90" s="20" t="n">
        <x:f>IF(F90="Unpaid",G90,0)</x:f>
        <x:v>0</x:v>
      </x:c>
      <x:c r="M90" s="17" t="str">
        <x:f>IF(B90="","",IF(F90="Paid","مرخصی با حقوق",IF(F90="Unpaid","مرخصی بدون حقوق",IF(K90&gt;0,"اضافه‌کاری","عادی"))))</x:f>
      </x:c>
    </x:row>
    <x:row r="91">
      <x:c r="A91" s="14"/>
      <x:c r="B91" s="13"/>
      <x:c r="C91" s="18"/>
      <x:c r="D91" s="18"/>
      <x:c r="E91" s="19"/>
      <x:c r="F91" s="19"/>
      <x:c r="G91" s="19"/>
      <x:c r="H91" s="19"/>
      <x:c r="I91" s="20" t="n">
        <x:f>IF(OR(C91="",D91=""),0,MAX(0,(D91-C91)*24-E91))</x:f>
        <x:v>0</x:v>
      </x:c>
      <x:c r="J91" s="20" t="n">
        <x:f>MIN(I91,H91)</x:f>
        <x:v>0</x:v>
      </x:c>
      <x:c r="K91" s="20" t="n">
        <x:f>MAX(0,I91-H91)</x:f>
        <x:v>0</x:v>
      </x:c>
      <x:c r="L91" s="20" t="n">
        <x:f>IF(F91="Unpaid",G91,0)</x:f>
        <x:v>0</x:v>
      </x:c>
      <x:c r="M91" s="17" t="str">
        <x:f>IF(B91="","",IF(F91="Paid","مرخصی با حقوق",IF(F91="Unpaid","مرخصی بدون حقوق",IF(K91&gt;0,"اضافه‌کاری","عادی"))))</x:f>
      </x:c>
    </x:row>
    <x:row r="92">
      <x:c r="A92" s="14"/>
      <x:c r="B92" s="13"/>
      <x:c r="C92" s="18"/>
      <x:c r="D92" s="18"/>
      <x:c r="E92" s="19"/>
      <x:c r="F92" s="19"/>
      <x:c r="G92" s="19"/>
      <x:c r="H92" s="19"/>
      <x:c r="I92" s="20" t="n">
        <x:f>IF(OR(C92="",D92=""),0,MAX(0,(D92-C92)*24-E92))</x:f>
        <x:v>0</x:v>
      </x:c>
      <x:c r="J92" s="20" t="n">
        <x:f>MIN(I92,H92)</x:f>
        <x:v>0</x:v>
      </x:c>
      <x:c r="K92" s="20" t="n">
        <x:f>MAX(0,I92-H92)</x:f>
        <x:v>0</x:v>
      </x:c>
      <x:c r="L92" s="20" t="n">
        <x:f>IF(F92="Unpaid",G92,0)</x:f>
        <x:v>0</x:v>
      </x:c>
      <x:c r="M92" s="17" t="str">
        <x:f>IF(B92="","",IF(F92="Paid","مرخصی با حقوق",IF(F92="Unpaid","مرخصی بدون حقوق",IF(K92&gt;0,"اضافه‌کاری","عادی"))))</x:f>
      </x:c>
    </x:row>
    <x:row r="93">
      <x:c r="A93" s="14"/>
      <x:c r="B93" s="13"/>
      <x:c r="C93" s="18"/>
      <x:c r="D93" s="18"/>
      <x:c r="E93" s="19"/>
      <x:c r="F93" s="19"/>
      <x:c r="G93" s="19"/>
      <x:c r="H93" s="19"/>
      <x:c r="I93" s="20" t="n">
        <x:f>IF(OR(C93="",D93=""),0,MAX(0,(D93-C93)*24-E93))</x:f>
        <x:v>0</x:v>
      </x:c>
      <x:c r="J93" s="20" t="n">
        <x:f>MIN(I93,H93)</x:f>
        <x:v>0</x:v>
      </x:c>
      <x:c r="K93" s="20" t="n">
        <x:f>MAX(0,I93-H93)</x:f>
        <x:v>0</x:v>
      </x:c>
      <x:c r="L93" s="20" t="n">
        <x:f>IF(F93="Unpaid",G93,0)</x:f>
        <x:v>0</x:v>
      </x:c>
      <x:c r="M93" s="17" t="str">
        <x:f>IF(B93="","",IF(F93="Paid","مرخصی با حقوق",IF(F93="Unpaid","مرخصی بدون حقوق",IF(K93&gt;0,"اضافه‌کاری","عادی"))))</x:f>
      </x:c>
    </x:row>
    <x:row r="94">
      <x:c r="A94" s="14"/>
      <x:c r="B94" s="13"/>
      <x:c r="C94" s="18"/>
      <x:c r="D94" s="18"/>
      <x:c r="E94" s="19"/>
      <x:c r="F94" s="19"/>
      <x:c r="G94" s="19"/>
      <x:c r="H94" s="19"/>
      <x:c r="I94" s="20" t="n">
        <x:f>IF(OR(C94="",D94=""),0,MAX(0,(D94-C94)*24-E94))</x:f>
        <x:v>0</x:v>
      </x:c>
      <x:c r="J94" s="20" t="n">
        <x:f>MIN(I94,H94)</x:f>
        <x:v>0</x:v>
      </x:c>
      <x:c r="K94" s="20" t="n">
        <x:f>MAX(0,I94-H94)</x:f>
        <x:v>0</x:v>
      </x:c>
      <x:c r="L94" s="20" t="n">
        <x:f>IF(F94="Unpaid",G94,0)</x:f>
        <x:v>0</x:v>
      </x:c>
      <x:c r="M94" s="17" t="str">
        <x:f>IF(B94="","",IF(F94="Paid","مرخصی با حقوق",IF(F94="Unpaid","مرخصی بدون حقوق",IF(K94&gt;0,"اضافه‌کاری","عادی"))))</x:f>
      </x:c>
    </x:row>
    <x:row r="95">
      <x:c r="A95" s="14"/>
      <x:c r="B95" s="13"/>
      <x:c r="C95" s="18"/>
      <x:c r="D95" s="18"/>
      <x:c r="E95" s="19"/>
      <x:c r="F95" s="19"/>
      <x:c r="G95" s="19"/>
      <x:c r="H95" s="19"/>
      <x:c r="I95" s="20" t="n">
        <x:f>IF(OR(C95="",D95=""),0,MAX(0,(D95-C95)*24-E95))</x:f>
        <x:v>0</x:v>
      </x:c>
      <x:c r="J95" s="20" t="n">
        <x:f>MIN(I95,H95)</x:f>
        <x:v>0</x:v>
      </x:c>
      <x:c r="K95" s="20" t="n">
        <x:f>MAX(0,I95-H95)</x:f>
        <x:v>0</x:v>
      </x:c>
      <x:c r="L95" s="20" t="n">
        <x:f>IF(F95="Unpaid",G95,0)</x:f>
        <x:v>0</x:v>
      </x:c>
      <x:c r="M95" s="17" t="str">
        <x:f>IF(B95="","",IF(F95="Paid","مرخصی با حقوق",IF(F95="Unpaid","مرخصی بدون حقوق",IF(K95&gt;0,"اضافه‌کاری","عادی"))))</x:f>
      </x:c>
    </x:row>
    <x:row r="96">
      <x:c r="A96" s="14"/>
      <x:c r="B96" s="13"/>
      <x:c r="C96" s="18"/>
      <x:c r="D96" s="18"/>
      <x:c r="E96" s="19"/>
      <x:c r="F96" s="19"/>
      <x:c r="G96" s="19"/>
      <x:c r="H96" s="19"/>
      <x:c r="I96" s="20" t="n">
        <x:f>IF(OR(C96="",D96=""),0,MAX(0,(D96-C96)*24-E96))</x:f>
        <x:v>0</x:v>
      </x:c>
      <x:c r="J96" s="20" t="n">
        <x:f>MIN(I96,H96)</x:f>
        <x:v>0</x:v>
      </x:c>
      <x:c r="K96" s="20" t="n">
        <x:f>MAX(0,I96-H96)</x:f>
        <x:v>0</x:v>
      </x:c>
      <x:c r="L96" s="20" t="n">
        <x:f>IF(F96="Unpaid",G96,0)</x:f>
        <x:v>0</x:v>
      </x:c>
      <x:c r="M96" s="17" t="str">
        <x:f>IF(B96="","",IF(F96="Paid","مرخصی با حقوق",IF(F96="Unpaid","مرخصی بدون حقوق",IF(K96&gt;0,"اضافه‌کاری","عادی"))))</x:f>
      </x:c>
    </x:row>
    <x:row r="97">
      <x:c r="A97" s="14"/>
      <x:c r="B97" s="13"/>
      <x:c r="C97" s="18"/>
      <x:c r="D97" s="18"/>
      <x:c r="E97" s="19"/>
      <x:c r="F97" s="19"/>
      <x:c r="G97" s="19"/>
      <x:c r="H97" s="19"/>
      <x:c r="I97" s="20" t="n">
        <x:f>IF(OR(C97="",D97=""),0,MAX(0,(D97-C97)*24-E97))</x:f>
        <x:v>0</x:v>
      </x:c>
      <x:c r="J97" s="20" t="n">
        <x:f>MIN(I97,H97)</x:f>
        <x:v>0</x:v>
      </x:c>
      <x:c r="K97" s="20" t="n">
        <x:f>MAX(0,I97-H97)</x:f>
        <x:v>0</x:v>
      </x:c>
      <x:c r="L97" s="20" t="n">
        <x:f>IF(F97="Unpaid",G97,0)</x:f>
        <x:v>0</x:v>
      </x:c>
      <x:c r="M97" s="17" t="str">
        <x:f>IF(B97="","",IF(F97="Paid","مرخصی با حقوق",IF(F97="Unpaid","مرخصی بدون حقوق",IF(K97&gt;0,"اضافه‌کاری","عادی"))))</x:f>
      </x:c>
    </x:row>
    <x:row r="98">
      <x:c r="A98" s="14"/>
      <x:c r="B98" s="13"/>
      <x:c r="C98" s="18"/>
      <x:c r="D98" s="18"/>
      <x:c r="E98" s="19"/>
      <x:c r="F98" s="19"/>
      <x:c r="G98" s="19"/>
      <x:c r="H98" s="19"/>
      <x:c r="I98" s="20" t="n">
        <x:f>IF(OR(C98="",D98=""),0,MAX(0,(D98-C98)*24-E98))</x:f>
        <x:v>0</x:v>
      </x:c>
      <x:c r="J98" s="20" t="n">
        <x:f>MIN(I98,H98)</x:f>
        <x:v>0</x:v>
      </x:c>
      <x:c r="K98" s="20" t="n">
        <x:f>MAX(0,I98-H98)</x:f>
        <x:v>0</x:v>
      </x:c>
      <x:c r="L98" s="20" t="n">
        <x:f>IF(F98="Unpaid",G98,0)</x:f>
        <x:v>0</x:v>
      </x:c>
      <x:c r="M98" s="17" t="str">
        <x:f>IF(B98="","",IF(F98="Paid","مرخصی با حقوق",IF(F98="Unpaid","مرخصی بدون حقوق",IF(K98&gt;0,"اضافه‌کاری","عادی"))))</x:f>
      </x:c>
    </x:row>
    <x:row r="99">
      <x:c r="A99" s="14"/>
      <x:c r="B99" s="13"/>
      <x:c r="C99" s="18"/>
      <x:c r="D99" s="18"/>
      <x:c r="E99" s="19"/>
      <x:c r="F99" s="19"/>
      <x:c r="G99" s="19"/>
      <x:c r="H99" s="19"/>
      <x:c r="I99" s="20" t="n">
        <x:f>IF(OR(C99="",D99=""),0,MAX(0,(D99-C99)*24-E99))</x:f>
        <x:v>0</x:v>
      </x:c>
      <x:c r="J99" s="20" t="n">
        <x:f>MIN(I99,H99)</x:f>
        <x:v>0</x:v>
      </x:c>
      <x:c r="K99" s="20" t="n">
        <x:f>MAX(0,I99-H99)</x:f>
        <x:v>0</x:v>
      </x:c>
      <x:c r="L99" s="20" t="n">
        <x:f>IF(F99="Unpaid",G99,0)</x:f>
        <x:v>0</x:v>
      </x:c>
      <x:c r="M99" s="17" t="str">
        <x:f>IF(B99="","",IF(F99="Paid","مرخصی با حقوق",IF(F99="Unpaid","مرخصی بدون حقوق",IF(K99&gt;0,"اضافه‌کاری","عادی"))))</x:f>
      </x:c>
    </x:row>
    <x:row r="100">
      <x:c r="A100" s="14"/>
      <x:c r="B100" s="13"/>
      <x:c r="C100" s="18"/>
      <x:c r="D100" s="18"/>
      <x:c r="E100" s="19"/>
      <x:c r="F100" s="19"/>
      <x:c r="G100" s="19"/>
      <x:c r="H100" s="19"/>
      <x:c r="I100" s="20" t="n">
        <x:f>IF(OR(C100="",D100=""),0,MAX(0,(D100-C100)*24-E100))</x:f>
        <x:v>0</x:v>
      </x:c>
      <x:c r="J100" s="20" t="n">
        <x:f>MIN(I100,H100)</x:f>
        <x:v>0</x:v>
      </x:c>
      <x:c r="K100" s="20" t="n">
        <x:f>MAX(0,I100-H100)</x:f>
        <x:v>0</x:v>
      </x:c>
      <x:c r="L100" s="20" t="n">
        <x:f>IF(F100="Unpaid",G100,0)</x:f>
        <x:v>0</x:v>
      </x:c>
      <x:c r="M100" s="17" t="str">
        <x:f>IF(B100="","",IF(F100="Paid","مرخصی با حقوق",IF(F100="Unpaid","مرخصی بدون حقوق",IF(K100&gt;0,"اضافه‌کاری","عادی"))))</x:f>
      </x:c>
    </x:row>
    <x:row r="101">
      <x:c r="A101" s="14"/>
      <x:c r="B101" s="13"/>
      <x:c r="C101" s="18"/>
      <x:c r="D101" s="18"/>
      <x:c r="E101" s="19"/>
      <x:c r="F101" s="19"/>
      <x:c r="G101" s="19"/>
      <x:c r="H101" s="19"/>
      <x:c r="I101" s="20" t="n">
        <x:f>IF(OR(C101="",D101=""),0,MAX(0,(D101-C101)*24-E101))</x:f>
        <x:v>0</x:v>
      </x:c>
      <x:c r="J101" s="20" t="n">
        <x:f>MIN(I101,H101)</x:f>
        <x:v>0</x:v>
      </x:c>
      <x:c r="K101" s="20" t="n">
        <x:f>MAX(0,I101-H101)</x:f>
        <x:v>0</x:v>
      </x:c>
      <x:c r="L101" s="20" t="n">
        <x:f>IF(F101="Unpaid",G101,0)</x:f>
        <x:v>0</x:v>
      </x:c>
      <x:c r="M101" s="17" t="str">
        <x:f>IF(B101="","",IF(F101="Paid","مرخصی با حقوق",IF(F101="Unpaid","مرخصی بدون حقوق",IF(K101&gt;0,"اضافه‌کاری","عادی"))))</x:f>
      </x:c>
    </x:row>
    <x:row r="102">
      <x:c r="A102" s="14"/>
      <x:c r="B102" s="13"/>
      <x:c r="C102" s="18"/>
      <x:c r="D102" s="18"/>
      <x:c r="E102" s="19"/>
      <x:c r="F102" s="19"/>
      <x:c r="G102" s="19"/>
      <x:c r="H102" s="19"/>
      <x:c r="I102" s="20" t="n">
        <x:f>IF(OR(C102="",D102=""),0,MAX(0,(D102-C102)*24-E102))</x:f>
        <x:v>0</x:v>
      </x:c>
      <x:c r="J102" s="20" t="n">
        <x:f>MIN(I102,H102)</x:f>
        <x:v>0</x:v>
      </x:c>
      <x:c r="K102" s="20" t="n">
        <x:f>MAX(0,I102-H102)</x:f>
        <x:v>0</x:v>
      </x:c>
      <x:c r="L102" s="20" t="n">
        <x:f>IF(F102="Unpaid",G102,0)</x:f>
        <x:v>0</x:v>
      </x:c>
      <x:c r="M102" s="17" t="str">
        <x:f>IF(B102="","",IF(F102="Paid","مرخصی با حقوق",IF(F102="Unpaid","مرخصی بدون حقوق",IF(K102&gt;0,"اضافه‌کاری","عادی"))))</x:f>
      </x:c>
    </x:row>
    <x:row r="103">
      <x:c r="A103" s="14"/>
      <x:c r="B103" s="13"/>
      <x:c r="C103" s="18"/>
      <x:c r="D103" s="18"/>
      <x:c r="E103" s="19"/>
      <x:c r="F103" s="19"/>
      <x:c r="G103" s="19"/>
      <x:c r="H103" s="19"/>
      <x:c r="I103" s="20" t="n">
        <x:f>IF(OR(C103="",D103=""),0,MAX(0,(D103-C103)*24-E103))</x:f>
        <x:v>0</x:v>
      </x:c>
      <x:c r="J103" s="20" t="n">
        <x:f>MIN(I103,H103)</x:f>
        <x:v>0</x:v>
      </x:c>
      <x:c r="K103" s="20" t="n">
        <x:f>MAX(0,I103-H103)</x:f>
        <x:v>0</x:v>
      </x:c>
      <x:c r="L103" s="20" t="n">
        <x:f>IF(F103="Unpaid",G103,0)</x:f>
        <x:v>0</x:v>
      </x:c>
      <x:c r="M103" s="17" t="str">
        <x:f>IF(B103="","",IF(F103="Paid","مرخصی با حقوق",IF(F103="Unpaid","مرخصی بدون حقوق",IF(K103&gt;0,"اضافه‌کاری","عادی"))))</x:f>
      </x:c>
    </x:row>
    <x:row r="104">
      <x:c r="A104" s="14"/>
      <x:c r="B104" s="13"/>
      <x:c r="C104" s="18"/>
      <x:c r="D104" s="18"/>
      <x:c r="E104" s="19"/>
      <x:c r="F104" s="19"/>
      <x:c r="G104" s="19"/>
      <x:c r="H104" s="19"/>
      <x:c r="I104" s="20" t="n">
        <x:f>IF(OR(C104="",D104=""),0,MAX(0,(D104-C104)*24-E104))</x:f>
        <x:v>0</x:v>
      </x:c>
      <x:c r="J104" s="20" t="n">
        <x:f>MIN(I104,H104)</x:f>
        <x:v>0</x:v>
      </x:c>
      <x:c r="K104" s="20" t="n">
        <x:f>MAX(0,I104-H104)</x:f>
        <x:v>0</x:v>
      </x:c>
      <x:c r="L104" s="20" t="n">
        <x:f>IF(F104="Unpaid",G104,0)</x:f>
        <x:v>0</x:v>
      </x:c>
      <x:c r="M104" s="17" t="str">
        <x:f>IF(B104="","",IF(F104="Paid","مرخصی با حقوق",IF(F104="Unpaid","مرخصی بدون حقوق",IF(K104&gt;0,"اضافه‌کاری","عادی"))))</x:f>
      </x:c>
    </x:row>
    <x:row r="105">
      <x:c r="A105" s="14"/>
      <x:c r="B105" s="13"/>
      <x:c r="C105" s="18"/>
      <x:c r="D105" s="18"/>
      <x:c r="E105" s="19"/>
      <x:c r="F105" s="19"/>
      <x:c r="G105" s="19"/>
      <x:c r="H105" s="19"/>
      <x:c r="I105" s="20" t="n">
        <x:f>IF(OR(C105="",D105=""),0,MAX(0,(D105-C105)*24-E105))</x:f>
        <x:v>0</x:v>
      </x:c>
      <x:c r="J105" s="20" t="n">
        <x:f>MIN(I105,H105)</x:f>
        <x:v>0</x:v>
      </x:c>
      <x:c r="K105" s="20" t="n">
        <x:f>MAX(0,I105-H105)</x:f>
        <x:v>0</x:v>
      </x:c>
      <x:c r="L105" s="20" t="n">
        <x:f>IF(F105="Unpaid",G105,0)</x:f>
        <x:v>0</x:v>
      </x:c>
      <x:c r="M105" s="17" t="str">
        <x:f>IF(B105="","",IF(F105="Paid","مرخصی با حقوق",IF(F105="Unpaid","مرخصی بدون حقوق",IF(K105&gt;0,"اضافه‌کاری","عادی"))))</x:f>
      </x:c>
    </x:row>
    <x:row r="106">
      <x:c r="A106" s="14"/>
      <x:c r="B106" s="13"/>
      <x:c r="C106" s="18"/>
      <x:c r="D106" s="18"/>
      <x:c r="E106" s="19"/>
      <x:c r="F106" s="19"/>
      <x:c r="G106" s="19"/>
      <x:c r="H106" s="19"/>
      <x:c r="I106" s="20" t="n">
        <x:f>IF(OR(C106="",D106=""),0,MAX(0,(D106-C106)*24-E106))</x:f>
        <x:v>0</x:v>
      </x:c>
      <x:c r="J106" s="20" t="n">
        <x:f>MIN(I106,H106)</x:f>
        <x:v>0</x:v>
      </x:c>
      <x:c r="K106" s="20" t="n">
        <x:f>MAX(0,I106-H106)</x:f>
        <x:v>0</x:v>
      </x:c>
      <x:c r="L106" s="20" t="n">
        <x:f>IF(F106="Unpaid",G106,0)</x:f>
        <x:v>0</x:v>
      </x:c>
      <x:c r="M106" s="17" t="str">
        <x:f>IF(B106="","",IF(F106="Paid","مرخصی با حقوق",IF(F106="Unpaid","مرخصی بدون حقوق",IF(K106&gt;0,"اضافه‌کاری","عادی"))))</x:f>
      </x:c>
    </x:row>
    <x:row r="107">
      <x:c r="A107" s="14"/>
      <x:c r="B107" s="13"/>
      <x:c r="C107" s="18"/>
      <x:c r="D107" s="18"/>
      <x:c r="E107" s="19"/>
      <x:c r="F107" s="19"/>
      <x:c r="G107" s="19"/>
      <x:c r="H107" s="19"/>
      <x:c r="I107" s="20" t="n">
        <x:f>IF(OR(C107="",D107=""),0,MAX(0,(D107-C107)*24-E107))</x:f>
        <x:v>0</x:v>
      </x:c>
      <x:c r="J107" s="20" t="n">
        <x:f>MIN(I107,H107)</x:f>
        <x:v>0</x:v>
      </x:c>
      <x:c r="K107" s="20" t="n">
        <x:f>MAX(0,I107-H107)</x:f>
        <x:v>0</x:v>
      </x:c>
      <x:c r="L107" s="20" t="n">
        <x:f>IF(F107="Unpaid",G107,0)</x:f>
        <x:v>0</x:v>
      </x:c>
      <x:c r="M107" s="17" t="str">
        <x:f>IF(B107="","",IF(F107="Paid","مرخصی با حقوق",IF(F107="Unpaid","مرخصی بدون حقوق",IF(K107&gt;0,"اضافه‌کاری","عادی"))))</x:f>
      </x:c>
    </x:row>
    <x:row r="108">
      <x:c r="A108" s="14"/>
      <x:c r="B108" s="13"/>
      <x:c r="C108" s="18"/>
      <x:c r="D108" s="18"/>
      <x:c r="E108" s="19"/>
      <x:c r="F108" s="19"/>
      <x:c r="G108" s="19"/>
      <x:c r="H108" s="19"/>
      <x:c r="I108" s="20" t="n">
        <x:f>IF(OR(C108="",D108=""),0,MAX(0,(D108-C108)*24-E108))</x:f>
        <x:v>0</x:v>
      </x:c>
      <x:c r="J108" s="20" t="n">
        <x:f>MIN(I108,H108)</x:f>
        <x:v>0</x:v>
      </x:c>
      <x:c r="K108" s="20" t="n">
        <x:f>MAX(0,I108-H108)</x:f>
        <x:v>0</x:v>
      </x:c>
      <x:c r="L108" s="20" t="n">
        <x:f>IF(F108="Unpaid",G108,0)</x:f>
        <x:v>0</x:v>
      </x:c>
      <x:c r="M108" s="17" t="str">
        <x:f>IF(B108="","",IF(F108="Paid","مرخصی با حقوق",IF(F108="Unpaid","مرخصی بدون حقوق",IF(K108&gt;0,"اضافه‌کاری","عادی"))))</x:f>
      </x:c>
    </x:row>
    <x:row r="109">
      <x:c r="A109" s="14"/>
      <x:c r="B109" s="13"/>
      <x:c r="C109" s="18"/>
      <x:c r="D109" s="18"/>
      <x:c r="E109" s="19"/>
      <x:c r="F109" s="19"/>
      <x:c r="G109" s="19"/>
      <x:c r="H109" s="19"/>
      <x:c r="I109" s="20" t="n">
        <x:f>IF(OR(C109="",D109=""),0,MAX(0,(D109-C109)*24-E109))</x:f>
        <x:v>0</x:v>
      </x:c>
      <x:c r="J109" s="20" t="n">
        <x:f>MIN(I109,H109)</x:f>
        <x:v>0</x:v>
      </x:c>
      <x:c r="K109" s="20" t="n">
        <x:f>MAX(0,I109-H109)</x:f>
        <x:v>0</x:v>
      </x:c>
      <x:c r="L109" s="20" t="n">
        <x:f>IF(F109="Unpaid",G109,0)</x:f>
        <x:v>0</x:v>
      </x:c>
      <x:c r="M109" s="17" t="str">
        <x:f>IF(B109="","",IF(F109="Paid","مرخصی با حقوق",IF(F109="Unpaid","مرخصی بدون حقوق",IF(K109&gt;0,"اضافه‌کاری","عادی"))))</x:f>
      </x:c>
    </x:row>
    <x:row r="110">
      <x:c r="A110" s="14"/>
      <x:c r="B110" s="13"/>
      <x:c r="C110" s="18"/>
      <x:c r="D110" s="18"/>
      <x:c r="E110" s="19"/>
      <x:c r="F110" s="19"/>
      <x:c r="G110" s="19"/>
      <x:c r="H110" s="19"/>
      <x:c r="I110" s="20" t="n">
        <x:f>IF(OR(C110="",D110=""),0,MAX(0,(D110-C110)*24-E110))</x:f>
        <x:v>0</x:v>
      </x:c>
      <x:c r="J110" s="20" t="n">
        <x:f>MIN(I110,H110)</x:f>
        <x:v>0</x:v>
      </x:c>
      <x:c r="K110" s="20" t="n">
        <x:f>MAX(0,I110-H110)</x:f>
        <x:v>0</x:v>
      </x:c>
      <x:c r="L110" s="20" t="n">
        <x:f>IF(F110="Unpaid",G110,0)</x:f>
        <x:v>0</x:v>
      </x:c>
      <x:c r="M110" s="17" t="str">
        <x:f>IF(B110="","",IF(F110="Paid","مرخصی با حقوق",IF(F110="Unpaid","مرخصی بدون حقوق",IF(K110&gt;0,"اضافه‌کاری","عادی"))))</x:f>
      </x:c>
    </x:row>
    <x:row r="111">
      <x:c r="A111" s="14"/>
      <x:c r="B111" s="13"/>
      <x:c r="C111" s="18"/>
      <x:c r="D111" s="18"/>
      <x:c r="E111" s="19"/>
      <x:c r="F111" s="19"/>
      <x:c r="G111" s="19"/>
      <x:c r="H111" s="19"/>
      <x:c r="I111" s="20" t="n">
        <x:f>IF(OR(C111="",D111=""),0,MAX(0,(D111-C111)*24-E111))</x:f>
        <x:v>0</x:v>
      </x:c>
      <x:c r="J111" s="20" t="n">
        <x:f>MIN(I111,H111)</x:f>
        <x:v>0</x:v>
      </x:c>
      <x:c r="K111" s="20" t="n">
        <x:f>MAX(0,I111-H111)</x:f>
        <x:v>0</x:v>
      </x:c>
      <x:c r="L111" s="20" t="n">
        <x:f>IF(F111="Unpaid",G111,0)</x:f>
        <x:v>0</x:v>
      </x:c>
      <x:c r="M111" s="17" t="str">
        <x:f>IF(B111="","",IF(F111="Paid","مرخصی با حقوق",IF(F111="Unpaid","مرخصی بدون حقوق",IF(K111&gt;0,"اضافه‌کاری","عادی"))))</x:f>
      </x:c>
    </x:row>
    <x:row r="112">
      <x:c r="A112" s="14"/>
      <x:c r="B112" s="13"/>
      <x:c r="C112" s="18"/>
      <x:c r="D112" s="18"/>
      <x:c r="E112" s="19"/>
      <x:c r="F112" s="19"/>
      <x:c r="G112" s="19"/>
      <x:c r="H112" s="19"/>
      <x:c r="I112" s="20" t="n">
        <x:f>IF(OR(C112="",D112=""),0,MAX(0,(D112-C112)*24-E112))</x:f>
        <x:v>0</x:v>
      </x:c>
      <x:c r="J112" s="20" t="n">
        <x:f>MIN(I112,H112)</x:f>
        <x:v>0</x:v>
      </x:c>
      <x:c r="K112" s="20" t="n">
        <x:f>MAX(0,I112-H112)</x:f>
        <x:v>0</x:v>
      </x:c>
      <x:c r="L112" s="20" t="n">
        <x:f>IF(F112="Unpaid",G112,0)</x:f>
        <x:v>0</x:v>
      </x:c>
      <x:c r="M112" s="17" t="str">
        <x:f>IF(B112="","",IF(F112="Paid","مرخصی با حقوق",IF(F112="Unpaid","مرخصی بدون حقوق",IF(K112&gt;0,"اضافه‌کاری","عادی"))))</x:f>
      </x:c>
    </x:row>
    <x:row r="113">
      <x:c r="A113" s="14"/>
      <x:c r="B113" s="13"/>
      <x:c r="C113" s="18"/>
      <x:c r="D113" s="18"/>
      <x:c r="E113" s="19"/>
      <x:c r="F113" s="19"/>
      <x:c r="G113" s="19"/>
      <x:c r="H113" s="19"/>
      <x:c r="I113" s="20" t="n">
        <x:f>IF(OR(C113="",D113=""),0,MAX(0,(D113-C113)*24-E113))</x:f>
        <x:v>0</x:v>
      </x:c>
      <x:c r="J113" s="20" t="n">
        <x:f>MIN(I113,H113)</x:f>
        <x:v>0</x:v>
      </x:c>
      <x:c r="K113" s="20" t="n">
        <x:f>MAX(0,I113-H113)</x:f>
        <x:v>0</x:v>
      </x:c>
      <x:c r="L113" s="20" t="n">
        <x:f>IF(F113="Unpaid",G113,0)</x:f>
        <x:v>0</x:v>
      </x:c>
      <x:c r="M113" s="17" t="str">
        <x:f>IF(B113="","",IF(F113="Paid","مرخصی با حقوق",IF(F113="Unpaid","مرخصی بدون حقوق",IF(K113&gt;0,"اضافه‌کاری","عادی"))))</x:f>
      </x:c>
    </x:row>
    <x:row r="114">
      <x:c r="A114" s="14"/>
      <x:c r="B114" s="13"/>
      <x:c r="C114" s="18"/>
      <x:c r="D114" s="18"/>
      <x:c r="E114" s="19"/>
      <x:c r="F114" s="19"/>
      <x:c r="G114" s="19"/>
      <x:c r="H114" s="19"/>
      <x:c r="I114" s="20" t="n">
        <x:f>IF(OR(C114="",D114=""),0,MAX(0,(D114-C114)*24-E114))</x:f>
        <x:v>0</x:v>
      </x:c>
      <x:c r="J114" s="20" t="n">
        <x:f>MIN(I114,H114)</x:f>
        <x:v>0</x:v>
      </x:c>
      <x:c r="K114" s="20" t="n">
        <x:f>MAX(0,I114-H114)</x:f>
        <x:v>0</x:v>
      </x:c>
      <x:c r="L114" s="20" t="n">
        <x:f>IF(F114="Unpaid",G114,0)</x:f>
        <x:v>0</x:v>
      </x:c>
      <x:c r="M114" s="17" t="str">
        <x:f>IF(B114="","",IF(F114="Paid","مرخصی با حقوق",IF(F114="Unpaid","مرخصی بدون حقوق",IF(K114&gt;0,"اضافه‌کاری","عادی"))))</x:f>
      </x:c>
    </x:row>
    <x:row r="115">
      <x:c r="A115" s="14"/>
      <x:c r="B115" s="13"/>
      <x:c r="C115" s="18"/>
      <x:c r="D115" s="18"/>
      <x:c r="E115" s="19"/>
      <x:c r="F115" s="19"/>
      <x:c r="G115" s="19"/>
      <x:c r="H115" s="19"/>
      <x:c r="I115" s="20" t="n">
        <x:f>IF(OR(C115="",D115=""),0,MAX(0,(D115-C115)*24-E115))</x:f>
        <x:v>0</x:v>
      </x:c>
      <x:c r="J115" s="20" t="n">
        <x:f>MIN(I115,H115)</x:f>
        <x:v>0</x:v>
      </x:c>
      <x:c r="K115" s="20" t="n">
        <x:f>MAX(0,I115-H115)</x:f>
        <x:v>0</x:v>
      </x:c>
      <x:c r="L115" s="20" t="n">
        <x:f>IF(F115="Unpaid",G115,0)</x:f>
        <x:v>0</x:v>
      </x:c>
      <x:c r="M115" s="17" t="str">
        <x:f>IF(B115="","",IF(F115="Paid","مرخصی با حقوق",IF(F115="Unpaid","مرخصی بدون حقوق",IF(K115&gt;0,"اضافه‌کاری","عادی"))))</x:f>
      </x:c>
    </x:row>
    <x:row r="116">
      <x:c r="A116" s="14"/>
      <x:c r="B116" s="13"/>
      <x:c r="C116" s="18"/>
      <x:c r="D116" s="18"/>
      <x:c r="E116" s="19"/>
      <x:c r="F116" s="19"/>
      <x:c r="G116" s="19"/>
      <x:c r="H116" s="19"/>
      <x:c r="I116" s="20" t="n">
        <x:f>IF(OR(C116="",D116=""),0,MAX(0,(D116-C116)*24-E116))</x:f>
        <x:v>0</x:v>
      </x:c>
      <x:c r="J116" s="20" t="n">
        <x:f>MIN(I116,H116)</x:f>
        <x:v>0</x:v>
      </x:c>
      <x:c r="K116" s="20" t="n">
        <x:f>MAX(0,I116-H116)</x:f>
        <x:v>0</x:v>
      </x:c>
      <x:c r="L116" s="20" t="n">
        <x:f>IF(F116="Unpaid",G116,0)</x:f>
        <x:v>0</x:v>
      </x:c>
      <x:c r="M116" s="17" t="str">
        <x:f>IF(B116="","",IF(F116="Paid","مرخصی با حقوق",IF(F116="Unpaid","مرخصی بدون حقوق",IF(K116&gt;0,"اضافه‌کاری","عادی"))))</x:f>
      </x:c>
    </x:row>
    <x:row r="117">
      <x:c r="A117" s="14"/>
      <x:c r="B117" s="13"/>
      <x:c r="C117" s="18"/>
      <x:c r="D117" s="18"/>
      <x:c r="E117" s="19"/>
      <x:c r="F117" s="19"/>
      <x:c r="G117" s="19"/>
      <x:c r="H117" s="19"/>
      <x:c r="I117" s="20" t="n">
        <x:f>IF(OR(C117="",D117=""),0,MAX(0,(D117-C117)*24-E117))</x:f>
        <x:v>0</x:v>
      </x:c>
      <x:c r="J117" s="20" t="n">
        <x:f>MIN(I117,H117)</x:f>
        <x:v>0</x:v>
      </x:c>
      <x:c r="K117" s="20" t="n">
        <x:f>MAX(0,I117-H117)</x:f>
        <x:v>0</x:v>
      </x:c>
      <x:c r="L117" s="20" t="n">
        <x:f>IF(F117="Unpaid",G117,0)</x:f>
        <x:v>0</x:v>
      </x:c>
      <x:c r="M117" s="17" t="str">
        <x:f>IF(B117="","",IF(F117="Paid","مرخصی با حقوق",IF(F117="Unpaid","مرخصی بدون حقوق",IF(K117&gt;0,"اضافه‌کاری","عادی"))))</x:f>
      </x:c>
    </x:row>
    <x:row r="118">
      <x:c r="A118" s="14"/>
      <x:c r="B118" s="13"/>
      <x:c r="C118" s="18"/>
      <x:c r="D118" s="18"/>
      <x:c r="E118" s="19"/>
      <x:c r="F118" s="19"/>
      <x:c r="G118" s="19"/>
      <x:c r="H118" s="19"/>
      <x:c r="I118" s="20" t="n">
        <x:f>IF(OR(C118="",D118=""),0,MAX(0,(D118-C118)*24-E118))</x:f>
        <x:v>0</x:v>
      </x:c>
      <x:c r="J118" s="20" t="n">
        <x:f>MIN(I118,H118)</x:f>
        <x:v>0</x:v>
      </x:c>
      <x:c r="K118" s="20" t="n">
        <x:f>MAX(0,I118-H118)</x:f>
        <x:v>0</x:v>
      </x:c>
      <x:c r="L118" s="20" t="n">
        <x:f>IF(F118="Unpaid",G118,0)</x:f>
        <x:v>0</x:v>
      </x:c>
      <x:c r="M118" s="17" t="str">
        <x:f>IF(B118="","",IF(F118="Paid","مرخصی با حقوق",IF(F118="Unpaid","مرخصی بدون حقوق",IF(K118&gt;0,"اضافه‌کاری","عادی"))))</x:f>
      </x:c>
    </x:row>
    <x:row r="119">
      <x:c r="A119" s="14"/>
      <x:c r="B119" s="13"/>
      <x:c r="C119" s="18"/>
      <x:c r="D119" s="18"/>
      <x:c r="E119" s="19"/>
      <x:c r="F119" s="19"/>
      <x:c r="G119" s="19"/>
      <x:c r="H119" s="19"/>
      <x:c r="I119" s="20" t="n">
        <x:f>IF(OR(C119="",D119=""),0,MAX(0,(D119-C119)*24-E119))</x:f>
        <x:v>0</x:v>
      </x:c>
      <x:c r="J119" s="20" t="n">
        <x:f>MIN(I119,H119)</x:f>
        <x:v>0</x:v>
      </x:c>
      <x:c r="K119" s="20" t="n">
        <x:f>MAX(0,I119-H119)</x:f>
        <x:v>0</x:v>
      </x:c>
      <x:c r="L119" s="20" t="n">
        <x:f>IF(F119="Unpaid",G119,0)</x:f>
        <x:v>0</x:v>
      </x:c>
      <x:c r="M119" s="17" t="str">
        <x:f>IF(B119="","",IF(F119="Paid","مرخصی با حقوق",IF(F119="Unpaid","مرخصی بدون حقوق",IF(K119&gt;0,"اضافه‌کاری","عادی"))))</x:f>
      </x:c>
    </x:row>
    <x:row r="120">
      <x:c r="A120" s="14"/>
      <x:c r="B120" s="13"/>
      <x:c r="C120" s="18"/>
      <x:c r="D120" s="18"/>
      <x:c r="E120" s="19"/>
      <x:c r="F120" s="19"/>
      <x:c r="G120" s="19"/>
      <x:c r="H120" s="19"/>
      <x:c r="I120" s="20" t="n">
        <x:f>IF(OR(C120="",D120=""),0,MAX(0,(D120-C120)*24-E120))</x:f>
        <x:v>0</x:v>
      </x:c>
      <x:c r="J120" s="20" t="n">
        <x:f>MIN(I120,H120)</x:f>
        <x:v>0</x:v>
      </x:c>
      <x:c r="K120" s="20" t="n">
        <x:f>MAX(0,I120-H120)</x:f>
        <x:v>0</x:v>
      </x:c>
      <x:c r="L120" s="20" t="n">
        <x:f>IF(F120="Unpaid",G120,0)</x:f>
        <x:v>0</x:v>
      </x:c>
      <x:c r="M120" s="17" t="str">
        <x:f>IF(B120="","",IF(F120="Paid","مرخصی با حقوق",IF(F120="Unpaid","مرخصی بدون حقوق",IF(K120&gt;0,"اضافه‌کاری","عادی"))))</x:f>
      </x:c>
    </x:row>
    <x:row r="121">
      <x:c r="A121" s="14"/>
      <x:c r="B121" s="13"/>
      <x:c r="C121" s="18"/>
      <x:c r="D121" s="18"/>
      <x:c r="E121" s="19"/>
      <x:c r="F121" s="19"/>
      <x:c r="G121" s="19"/>
      <x:c r="H121" s="19"/>
      <x:c r="I121" s="20" t="n">
        <x:f>IF(OR(C121="",D121=""),0,MAX(0,(D121-C121)*24-E121))</x:f>
        <x:v>0</x:v>
      </x:c>
      <x:c r="J121" s="20" t="n">
        <x:f>MIN(I121,H121)</x:f>
        <x:v>0</x:v>
      </x:c>
      <x:c r="K121" s="20" t="n">
        <x:f>MAX(0,I121-H121)</x:f>
        <x:v>0</x:v>
      </x:c>
      <x:c r="L121" s="20" t="n">
        <x:f>IF(F121="Unpaid",G121,0)</x:f>
        <x:v>0</x:v>
      </x:c>
      <x:c r="M121" s="17" t="str">
        <x:f>IF(B121="","",IF(F121="Paid","مرخصی با حقوق",IF(F121="Unpaid","مرخصی بدون حقوق",IF(K121&gt;0,"اضافه‌کاری","عادی"))))</x:f>
      </x:c>
    </x:row>
    <x:row r="122">
      <x:c r="A122" s="14"/>
      <x:c r="B122" s="13"/>
      <x:c r="C122" s="18"/>
      <x:c r="D122" s="18"/>
      <x:c r="E122" s="19"/>
      <x:c r="F122" s="19"/>
      <x:c r="G122" s="19"/>
      <x:c r="H122" s="19"/>
      <x:c r="I122" s="20" t="n">
        <x:f>IF(OR(C122="",D122=""),0,MAX(0,(D122-C122)*24-E122))</x:f>
        <x:v>0</x:v>
      </x:c>
      <x:c r="J122" s="20" t="n">
        <x:f>MIN(I122,H122)</x:f>
        <x:v>0</x:v>
      </x:c>
      <x:c r="K122" s="20" t="n">
        <x:f>MAX(0,I122-H122)</x:f>
        <x:v>0</x:v>
      </x:c>
      <x:c r="L122" s="20" t="n">
        <x:f>IF(F122="Unpaid",G122,0)</x:f>
        <x:v>0</x:v>
      </x:c>
      <x:c r="M122" s="17" t="str">
        <x:f>IF(B122="","",IF(F122="Paid","مرخصی با حقوق",IF(F122="Unpaid","مرخصی بدون حقوق",IF(K122&gt;0,"اضافه‌کاری","عادی"))))</x:f>
      </x:c>
    </x:row>
    <x:row r="123">
      <x:c r="A123" s="14"/>
      <x:c r="B123" s="13"/>
      <x:c r="C123" s="18"/>
      <x:c r="D123" s="18"/>
      <x:c r="E123" s="19"/>
      <x:c r="F123" s="19"/>
      <x:c r="G123" s="19"/>
      <x:c r="H123" s="19"/>
      <x:c r="I123" s="20" t="n">
        <x:f>IF(OR(C123="",D123=""),0,MAX(0,(D123-C123)*24-E123))</x:f>
        <x:v>0</x:v>
      </x:c>
      <x:c r="J123" s="20" t="n">
        <x:f>MIN(I123,H123)</x:f>
        <x:v>0</x:v>
      </x:c>
      <x:c r="K123" s="20" t="n">
        <x:f>MAX(0,I123-H123)</x:f>
        <x:v>0</x:v>
      </x:c>
      <x:c r="L123" s="20" t="n">
        <x:f>IF(F123="Unpaid",G123,0)</x:f>
        <x:v>0</x:v>
      </x:c>
      <x:c r="M123" s="17" t="str">
        <x:f>IF(B123="","",IF(F123="Paid","مرخصی با حقوق",IF(F123="Unpaid","مرخصی بدون حقوق",IF(K123&gt;0,"اضافه‌کاری","عادی"))))</x:f>
      </x:c>
    </x:row>
    <x:row r="124">
      <x:c r="A124" s="14"/>
      <x:c r="B124" s="13"/>
      <x:c r="C124" s="18"/>
      <x:c r="D124" s="18"/>
      <x:c r="E124" s="19"/>
      <x:c r="F124" s="19"/>
      <x:c r="G124" s="19"/>
      <x:c r="H124" s="19"/>
      <x:c r="I124" s="20" t="n">
        <x:f>IF(OR(C124="",D124=""),0,MAX(0,(D124-C124)*24-E124))</x:f>
        <x:v>0</x:v>
      </x:c>
      <x:c r="J124" s="20" t="n">
        <x:f>MIN(I124,H124)</x:f>
        <x:v>0</x:v>
      </x:c>
      <x:c r="K124" s="20" t="n">
        <x:f>MAX(0,I124-H124)</x:f>
        <x:v>0</x:v>
      </x:c>
      <x:c r="L124" s="20" t="n">
        <x:f>IF(F124="Unpaid",G124,0)</x:f>
        <x:v>0</x:v>
      </x:c>
      <x:c r="M124" s="17" t="str">
        <x:f>IF(B124="","",IF(F124="Paid","مرخصی با حقوق",IF(F124="Unpaid","مرخصی بدون حقوق",IF(K124&gt;0,"اضافه‌کاری","عادی"))))</x:f>
      </x:c>
    </x:row>
    <x:row r="125">
      <x:c r="A125" s="14"/>
      <x:c r="B125" s="13"/>
      <x:c r="C125" s="18"/>
      <x:c r="D125" s="18"/>
      <x:c r="E125" s="19"/>
      <x:c r="F125" s="19"/>
      <x:c r="G125" s="19"/>
      <x:c r="H125" s="19"/>
      <x:c r="I125" s="20" t="n">
        <x:f>IF(OR(C125="",D125=""),0,MAX(0,(D125-C125)*24-E125))</x:f>
        <x:v>0</x:v>
      </x:c>
      <x:c r="J125" s="20" t="n">
        <x:f>MIN(I125,H125)</x:f>
        <x:v>0</x:v>
      </x:c>
      <x:c r="K125" s="20" t="n">
        <x:f>MAX(0,I125-H125)</x:f>
        <x:v>0</x:v>
      </x:c>
      <x:c r="L125" s="20" t="n">
        <x:f>IF(F125="Unpaid",G125,0)</x:f>
        <x:v>0</x:v>
      </x:c>
      <x:c r="M125" s="17" t="str">
        <x:f>IF(B125="","",IF(F125="Paid","مرخصی با حقوق",IF(F125="Unpaid","مرخصی بدون حقوق",IF(K125&gt;0,"اضافه‌کاری","عادی"))))</x:f>
      </x:c>
    </x:row>
    <x:row r="126">
      <x:c r="A126" s="14"/>
      <x:c r="B126" s="13"/>
      <x:c r="C126" s="18"/>
      <x:c r="D126" s="18"/>
      <x:c r="E126" s="19"/>
      <x:c r="F126" s="19"/>
      <x:c r="G126" s="19"/>
      <x:c r="H126" s="19"/>
      <x:c r="I126" s="20" t="n">
        <x:f>IF(OR(C126="",D126=""),0,MAX(0,(D126-C126)*24-E126))</x:f>
        <x:v>0</x:v>
      </x:c>
      <x:c r="J126" s="20" t="n">
        <x:f>MIN(I126,H126)</x:f>
        <x:v>0</x:v>
      </x:c>
      <x:c r="K126" s="20" t="n">
        <x:f>MAX(0,I126-H126)</x:f>
        <x:v>0</x:v>
      </x:c>
      <x:c r="L126" s="20" t="n">
        <x:f>IF(F126="Unpaid",G126,0)</x:f>
        <x:v>0</x:v>
      </x:c>
      <x:c r="M126" s="17" t="str">
        <x:f>IF(B126="","",IF(F126="Paid","مرخصی با حقوق",IF(F126="Unpaid","مرخصی بدون حقوق",IF(K126&gt;0,"اضافه‌کاری","عادی"))))</x:f>
      </x:c>
    </x:row>
    <x:row r="127">
      <x:c r="A127" s="14"/>
      <x:c r="B127" s="13"/>
      <x:c r="C127" s="18"/>
      <x:c r="D127" s="18"/>
      <x:c r="E127" s="19"/>
      <x:c r="F127" s="19"/>
      <x:c r="G127" s="19"/>
      <x:c r="H127" s="19"/>
      <x:c r="I127" s="20" t="n">
        <x:f>IF(OR(C127="",D127=""),0,MAX(0,(D127-C127)*24-E127))</x:f>
        <x:v>0</x:v>
      </x:c>
      <x:c r="J127" s="20" t="n">
        <x:f>MIN(I127,H127)</x:f>
        <x:v>0</x:v>
      </x:c>
      <x:c r="K127" s="20" t="n">
        <x:f>MAX(0,I127-H127)</x:f>
        <x:v>0</x:v>
      </x:c>
      <x:c r="L127" s="20" t="n">
        <x:f>IF(F127="Unpaid",G127,0)</x:f>
        <x:v>0</x:v>
      </x:c>
      <x:c r="M127" s="17" t="str">
        <x:f>IF(B127="","",IF(F127="Paid","مرخصی با حقوق",IF(F127="Unpaid","مرخصی بدون حقوق",IF(K127&gt;0,"اضافه‌کاری","عادی"))))</x:f>
      </x:c>
    </x:row>
    <x:row r="128">
      <x:c r="A128" s="14"/>
      <x:c r="B128" s="13"/>
      <x:c r="C128" s="18"/>
      <x:c r="D128" s="18"/>
      <x:c r="E128" s="19"/>
      <x:c r="F128" s="19"/>
      <x:c r="G128" s="19"/>
      <x:c r="H128" s="19"/>
      <x:c r="I128" s="20" t="n">
        <x:f>IF(OR(C128="",D128=""),0,MAX(0,(D128-C128)*24-E128))</x:f>
        <x:v>0</x:v>
      </x:c>
      <x:c r="J128" s="20" t="n">
        <x:f>MIN(I128,H128)</x:f>
        <x:v>0</x:v>
      </x:c>
      <x:c r="K128" s="20" t="n">
        <x:f>MAX(0,I128-H128)</x:f>
        <x:v>0</x:v>
      </x:c>
      <x:c r="L128" s="20" t="n">
        <x:f>IF(F128="Unpaid",G128,0)</x:f>
        <x:v>0</x:v>
      </x:c>
      <x:c r="M128" s="17" t="str">
        <x:f>IF(B128="","",IF(F128="Paid","مرخصی با حقوق",IF(F128="Unpaid","مرخصی بدون حقوق",IF(K128&gt;0,"اضافه‌کاری","عادی"))))</x:f>
      </x:c>
    </x:row>
    <x:row r="129">
      <x:c r="A129" s="14"/>
      <x:c r="B129" s="13"/>
      <x:c r="C129" s="18"/>
      <x:c r="D129" s="18"/>
      <x:c r="E129" s="19"/>
      <x:c r="F129" s="19"/>
      <x:c r="G129" s="19"/>
      <x:c r="H129" s="19"/>
      <x:c r="I129" s="20" t="n">
        <x:f>IF(OR(C129="",D129=""),0,MAX(0,(D129-C129)*24-E129))</x:f>
        <x:v>0</x:v>
      </x:c>
      <x:c r="J129" s="20" t="n">
        <x:f>MIN(I129,H129)</x:f>
        <x:v>0</x:v>
      </x:c>
      <x:c r="K129" s="20" t="n">
        <x:f>MAX(0,I129-H129)</x:f>
        <x:v>0</x:v>
      </x:c>
      <x:c r="L129" s="20" t="n">
        <x:f>IF(F129="Unpaid",G129,0)</x:f>
        <x:v>0</x:v>
      </x:c>
      <x:c r="M129" s="17" t="str">
        <x:f>IF(B129="","",IF(F129="Paid","مرخصی با حقوق",IF(F129="Unpaid","مرخصی بدون حقوق",IF(K129&gt;0,"اضافه‌کاری","عادی"))))</x:f>
      </x:c>
    </x:row>
    <x:row r="130">
      <x:c r="A130" s="14"/>
      <x:c r="B130" s="13"/>
      <x:c r="C130" s="18"/>
      <x:c r="D130" s="18"/>
      <x:c r="E130" s="19"/>
      <x:c r="F130" s="19"/>
      <x:c r="G130" s="19"/>
      <x:c r="H130" s="19"/>
      <x:c r="I130" s="20" t="n">
        <x:f>IF(OR(C130="",D130=""),0,MAX(0,(D130-C130)*24-E130))</x:f>
        <x:v>0</x:v>
      </x:c>
      <x:c r="J130" s="20" t="n">
        <x:f>MIN(I130,H130)</x:f>
        <x:v>0</x:v>
      </x:c>
      <x:c r="K130" s="20" t="n">
        <x:f>MAX(0,I130-H130)</x:f>
        <x:v>0</x:v>
      </x:c>
      <x:c r="L130" s="20" t="n">
        <x:f>IF(F130="Unpaid",G130,0)</x:f>
        <x:v>0</x:v>
      </x:c>
      <x:c r="M130" s="17" t="str">
        <x:f>IF(B130="","",IF(F130="Paid","مرخصی با حقوق",IF(F130="Unpaid","مرخصی بدون حقوق",IF(K130&gt;0,"اضافه‌کاری","عادی"))))</x:f>
      </x:c>
    </x:row>
    <x:row r="131">
      <x:c r="A131" s="14"/>
      <x:c r="B131" s="13"/>
      <x:c r="C131" s="18"/>
      <x:c r="D131" s="18"/>
      <x:c r="E131" s="19"/>
      <x:c r="F131" s="19"/>
      <x:c r="G131" s="19"/>
      <x:c r="H131" s="19"/>
      <x:c r="I131" s="20" t="n">
        <x:f>IF(OR(C131="",D131=""),0,MAX(0,(D131-C131)*24-E131))</x:f>
        <x:v>0</x:v>
      </x:c>
      <x:c r="J131" s="20" t="n">
        <x:f>MIN(I131,H131)</x:f>
        <x:v>0</x:v>
      </x:c>
      <x:c r="K131" s="20" t="n">
        <x:f>MAX(0,I131-H131)</x:f>
        <x:v>0</x:v>
      </x:c>
      <x:c r="L131" s="20" t="n">
        <x:f>IF(F131="Unpaid",G131,0)</x:f>
        <x:v>0</x:v>
      </x:c>
      <x:c r="M131" s="17" t="str">
        <x:f>IF(B131="","",IF(F131="Paid","مرخصی با حقوق",IF(F131="Unpaid","مرخصی بدون حقوق",IF(K131&gt;0,"اضافه‌کاری","عادی"))))</x:f>
      </x:c>
    </x:row>
    <x:row r="132">
      <x:c r="A132" s="14"/>
      <x:c r="B132" s="13"/>
      <x:c r="C132" s="18"/>
      <x:c r="D132" s="18"/>
      <x:c r="E132" s="19"/>
      <x:c r="F132" s="19"/>
      <x:c r="G132" s="19"/>
      <x:c r="H132" s="19"/>
      <x:c r="I132" s="20" t="n">
        <x:f>IF(OR(C132="",D132=""),0,MAX(0,(D132-C132)*24-E132))</x:f>
        <x:v>0</x:v>
      </x:c>
      <x:c r="J132" s="20" t="n">
        <x:f>MIN(I132,H132)</x:f>
        <x:v>0</x:v>
      </x:c>
      <x:c r="K132" s="20" t="n">
        <x:f>MAX(0,I132-H132)</x:f>
        <x:v>0</x:v>
      </x:c>
      <x:c r="L132" s="20" t="n">
        <x:f>IF(F132="Unpaid",G132,0)</x:f>
        <x:v>0</x:v>
      </x:c>
      <x:c r="M132" s="17" t="str">
        <x:f>IF(B132="","",IF(F132="Paid","مرخصی با حقوق",IF(F132="Unpaid","مرخصی بدون حقوق",IF(K132&gt;0,"اضافه‌کاری","عادی"))))</x:f>
      </x:c>
    </x:row>
    <x:row r="133">
      <x:c r="A133" s="14"/>
      <x:c r="B133" s="13"/>
      <x:c r="C133" s="18"/>
      <x:c r="D133" s="18"/>
      <x:c r="E133" s="19"/>
      <x:c r="F133" s="19"/>
      <x:c r="G133" s="19"/>
      <x:c r="H133" s="19"/>
      <x:c r="I133" s="20" t="n">
        <x:f>IF(OR(C133="",D133=""),0,MAX(0,(D133-C133)*24-E133))</x:f>
        <x:v>0</x:v>
      </x:c>
      <x:c r="J133" s="20" t="n">
        <x:f>MIN(I133,H133)</x:f>
        <x:v>0</x:v>
      </x:c>
      <x:c r="K133" s="20" t="n">
        <x:f>MAX(0,I133-H133)</x:f>
        <x:v>0</x:v>
      </x:c>
      <x:c r="L133" s="20" t="n">
        <x:f>IF(F133="Unpaid",G133,0)</x:f>
        <x:v>0</x:v>
      </x:c>
      <x:c r="M133" s="17" t="str">
        <x:f>IF(B133="","",IF(F133="Paid","مرخصی با حقوق",IF(F133="Unpaid","مرخصی بدون حقوق",IF(K133&gt;0,"اضافه‌کاری","عادی"))))</x:f>
      </x:c>
    </x:row>
    <x:row r="134">
      <x:c r="A134" s="14"/>
      <x:c r="B134" s="13"/>
      <x:c r="C134" s="18"/>
      <x:c r="D134" s="18"/>
      <x:c r="E134" s="19"/>
      <x:c r="F134" s="19"/>
      <x:c r="G134" s="19"/>
      <x:c r="H134" s="19"/>
      <x:c r="I134" s="20" t="n">
        <x:f>IF(OR(C134="",D134=""),0,MAX(0,(D134-C134)*24-E134))</x:f>
        <x:v>0</x:v>
      </x:c>
      <x:c r="J134" s="20" t="n">
        <x:f>MIN(I134,H134)</x:f>
        <x:v>0</x:v>
      </x:c>
      <x:c r="K134" s="20" t="n">
        <x:f>MAX(0,I134-H134)</x:f>
        <x:v>0</x:v>
      </x:c>
      <x:c r="L134" s="20" t="n">
        <x:f>IF(F134="Unpaid",G134,0)</x:f>
        <x:v>0</x:v>
      </x:c>
      <x:c r="M134" s="17" t="str">
        <x:f>IF(B134="","",IF(F134="Paid","مرخصی با حقوق",IF(F134="Unpaid","مرخصی بدون حقوق",IF(K134&gt;0,"اضافه‌کاری","عادی"))))</x:f>
      </x:c>
    </x:row>
    <x:row r="135">
      <x:c r="A135" s="14"/>
      <x:c r="B135" s="13"/>
      <x:c r="C135" s="18"/>
      <x:c r="D135" s="18"/>
      <x:c r="E135" s="19"/>
      <x:c r="F135" s="19"/>
      <x:c r="G135" s="19"/>
      <x:c r="H135" s="19"/>
      <x:c r="I135" s="20" t="n">
        <x:f>IF(OR(C135="",D135=""),0,MAX(0,(D135-C135)*24-E135))</x:f>
        <x:v>0</x:v>
      </x:c>
      <x:c r="J135" s="20" t="n">
        <x:f>MIN(I135,H135)</x:f>
        <x:v>0</x:v>
      </x:c>
      <x:c r="K135" s="20" t="n">
        <x:f>MAX(0,I135-H135)</x:f>
        <x:v>0</x:v>
      </x:c>
      <x:c r="L135" s="20" t="n">
        <x:f>IF(F135="Unpaid",G135,0)</x:f>
        <x:v>0</x:v>
      </x:c>
      <x:c r="M135" s="17" t="str">
        <x:f>IF(B135="","",IF(F135="Paid","مرخصی با حقوق",IF(F135="Unpaid","مرخصی بدون حقوق",IF(K135&gt;0,"اضافه‌کاری","عادی"))))</x:f>
      </x:c>
    </x:row>
    <x:row r="136">
      <x:c r="A136" s="14"/>
      <x:c r="B136" s="13"/>
      <x:c r="C136" s="18"/>
      <x:c r="D136" s="18"/>
      <x:c r="E136" s="19"/>
      <x:c r="F136" s="19"/>
      <x:c r="G136" s="19"/>
      <x:c r="H136" s="19"/>
      <x:c r="I136" s="20" t="n">
        <x:f>IF(OR(C136="",D136=""),0,MAX(0,(D136-C136)*24-E136))</x:f>
        <x:v>0</x:v>
      </x:c>
      <x:c r="J136" s="20" t="n">
        <x:f>MIN(I136,H136)</x:f>
        <x:v>0</x:v>
      </x:c>
      <x:c r="K136" s="20" t="n">
        <x:f>MAX(0,I136-H136)</x:f>
        <x:v>0</x:v>
      </x:c>
      <x:c r="L136" s="20" t="n">
        <x:f>IF(F136="Unpaid",G136,0)</x:f>
        <x:v>0</x:v>
      </x:c>
      <x:c r="M136" s="17" t="str">
        <x:f>IF(B136="","",IF(F136="Paid","مرخصی با حقوق",IF(F136="Unpaid","مرخصی بدون حقوق",IF(K136&gt;0,"اضافه‌کاری","عادی"))))</x:f>
      </x:c>
    </x:row>
    <x:row r="137">
      <x:c r="A137" s="14"/>
      <x:c r="B137" s="13"/>
      <x:c r="C137" s="18"/>
      <x:c r="D137" s="18"/>
      <x:c r="E137" s="19"/>
      <x:c r="F137" s="19"/>
      <x:c r="G137" s="19"/>
      <x:c r="H137" s="19"/>
      <x:c r="I137" s="20" t="n">
        <x:f>IF(OR(C137="",D137=""),0,MAX(0,(D137-C137)*24-E137))</x:f>
        <x:v>0</x:v>
      </x:c>
      <x:c r="J137" s="20" t="n">
        <x:f>MIN(I137,H137)</x:f>
        <x:v>0</x:v>
      </x:c>
      <x:c r="K137" s="20" t="n">
        <x:f>MAX(0,I137-H137)</x:f>
        <x:v>0</x:v>
      </x:c>
      <x:c r="L137" s="20" t="n">
        <x:f>IF(F137="Unpaid",G137,0)</x:f>
        <x:v>0</x:v>
      </x:c>
      <x:c r="M137" s="17" t="str">
        <x:f>IF(B137="","",IF(F137="Paid","مرخصی با حقوق",IF(F137="Unpaid","مرخصی بدون حقوق",IF(K137&gt;0,"اضافه‌کاری","عادی"))))</x:f>
      </x:c>
    </x:row>
    <x:row r="138">
      <x:c r="A138" s="14"/>
      <x:c r="B138" s="13"/>
      <x:c r="C138" s="18"/>
      <x:c r="D138" s="18"/>
      <x:c r="E138" s="19"/>
      <x:c r="F138" s="19"/>
      <x:c r="G138" s="19"/>
      <x:c r="H138" s="19"/>
      <x:c r="I138" s="20" t="n">
        <x:f>IF(OR(C138="",D138=""),0,MAX(0,(D138-C138)*24-E138))</x:f>
        <x:v>0</x:v>
      </x:c>
      <x:c r="J138" s="20" t="n">
        <x:f>MIN(I138,H138)</x:f>
        <x:v>0</x:v>
      </x:c>
      <x:c r="K138" s="20" t="n">
        <x:f>MAX(0,I138-H138)</x:f>
        <x:v>0</x:v>
      </x:c>
      <x:c r="L138" s="20" t="n">
        <x:f>IF(F138="Unpaid",G138,0)</x:f>
        <x:v>0</x:v>
      </x:c>
      <x:c r="M138" s="17" t="str">
        <x:f>IF(B138="","",IF(F138="Paid","مرخصی با حقوق",IF(F138="Unpaid","مرخصی بدون حقوق",IF(K138&gt;0,"اضافه‌کاری","عادی"))))</x:f>
      </x:c>
    </x:row>
    <x:row r="139">
      <x:c r="A139" s="14"/>
      <x:c r="B139" s="13"/>
      <x:c r="C139" s="18"/>
      <x:c r="D139" s="18"/>
      <x:c r="E139" s="19"/>
      <x:c r="F139" s="19"/>
      <x:c r="G139" s="19"/>
      <x:c r="H139" s="19"/>
      <x:c r="I139" s="20" t="n">
        <x:f>IF(OR(C139="",D139=""),0,MAX(0,(D139-C139)*24-E139))</x:f>
        <x:v>0</x:v>
      </x:c>
      <x:c r="J139" s="20" t="n">
        <x:f>MIN(I139,H139)</x:f>
        <x:v>0</x:v>
      </x:c>
      <x:c r="K139" s="20" t="n">
        <x:f>MAX(0,I139-H139)</x:f>
        <x:v>0</x:v>
      </x:c>
      <x:c r="L139" s="20" t="n">
        <x:f>IF(F139="Unpaid",G139,0)</x:f>
        <x:v>0</x:v>
      </x:c>
      <x:c r="M139" s="17" t="str">
        <x:f>IF(B139="","",IF(F139="Paid","مرخصی با حقوق",IF(F139="Unpaid","مرخصی بدون حقوق",IF(K139&gt;0,"اضافه‌کاری","عادی"))))</x:f>
      </x:c>
    </x:row>
    <x:row r="140">
      <x:c r="A140" s="14"/>
      <x:c r="B140" s="13"/>
      <x:c r="C140" s="18"/>
      <x:c r="D140" s="18"/>
      <x:c r="E140" s="19"/>
      <x:c r="F140" s="19"/>
      <x:c r="G140" s="19"/>
      <x:c r="H140" s="19"/>
      <x:c r="I140" s="20" t="n">
        <x:f>IF(OR(C140="",D140=""),0,MAX(0,(D140-C140)*24-E140))</x:f>
        <x:v>0</x:v>
      </x:c>
      <x:c r="J140" s="20" t="n">
        <x:f>MIN(I140,H140)</x:f>
        <x:v>0</x:v>
      </x:c>
      <x:c r="K140" s="20" t="n">
        <x:f>MAX(0,I140-H140)</x:f>
        <x:v>0</x:v>
      </x:c>
      <x:c r="L140" s="20" t="n">
        <x:f>IF(F140="Unpaid",G140,0)</x:f>
        <x:v>0</x:v>
      </x:c>
      <x:c r="M140" s="17" t="str">
        <x:f>IF(B140="","",IF(F140="Paid","مرخصی با حقوق",IF(F140="Unpaid","مرخصی بدون حقوق",IF(K140&gt;0,"اضافه‌کاری","عادی"))))</x:f>
      </x:c>
    </x:row>
    <x:row r="141">
      <x:c r="A141" s="14"/>
      <x:c r="B141" s="13"/>
      <x:c r="C141" s="18"/>
      <x:c r="D141" s="18"/>
      <x:c r="E141" s="19"/>
      <x:c r="F141" s="19"/>
      <x:c r="G141" s="19"/>
      <x:c r="H141" s="19"/>
      <x:c r="I141" s="20" t="n">
        <x:f>IF(OR(C141="",D141=""),0,MAX(0,(D141-C141)*24-E141))</x:f>
        <x:v>0</x:v>
      </x:c>
      <x:c r="J141" s="20" t="n">
        <x:f>MIN(I141,H141)</x:f>
        <x:v>0</x:v>
      </x:c>
      <x:c r="K141" s="20" t="n">
        <x:f>MAX(0,I141-H141)</x:f>
        <x:v>0</x:v>
      </x:c>
      <x:c r="L141" s="20" t="n">
        <x:f>IF(F141="Unpaid",G141,0)</x:f>
        <x:v>0</x:v>
      </x:c>
      <x:c r="M141" s="17" t="str">
        <x:f>IF(B141="","",IF(F141="Paid","مرخصی با حقوق",IF(F141="Unpaid","مرخصی بدون حقوق",IF(K141&gt;0,"اضافه‌کاری","عادی"))))</x:f>
      </x:c>
    </x:row>
    <x:row r="142">
      <x:c r="A142" s="14"/>
      <x:c r="B142" s="13"/>
      <x:c r="C142" s="18"/>
      <x:c r="D142" s="18"/>
      <x:c r="E142" s="19"/>
      <x:c r="F142" s="19"/>
      <x:c r="G142" s="19"/>
      <x:c r="H142" s="19"/>
      <x:c r="I142" s="20" t="n">
        <x:f>IF(OR(C142="",D142=""),0,MAX(0,(D142-C142)*24-E142))</x:f>
        <x:v>0</x:v>
      </x:c>
      <x:c r="J142" s="20" t="n">
        <x:f>MIN(I142,H142)</x:f>
        <x:v>0</x:v>
      </x:c>
      <x:c r="K142" s="20" t="n">
        <x:f>MAX(0,I142-H142)</x:f>
        <x:v>0</x:v>
      </x:c>
      <x:c r="L142" s="20" t="n">
        <x:f>IF(F142="Unpaid",G142,0)</x:f>
        <x:v>0</x:v>
      </x:c>
      <x:c r="M142" s="17" t="str">
        <x:f>IF(B142="","",IF(F142="Paid","مرخصی با حقوق",IF(F142="Unpaid","مرخصی بدون حقوق",IF(K142&gt;0,"اضافه‌کاری","عادی"))))</x:f>
      </x:c>
    </x:row>
    <x:row r="143">
      <x:c r="A143" s="14"/>
      <x:c r="B143" s="13"/>
      <x:c r="C143" s="18"/>
      <x:c r="D143" s="18"/>
      <x:c r="E143" s="19"/>
      <x:c r="F143" s="19"/>
      <x:c r="G143" s="19"/>
      <x:c r="H143" s="19"/>
      <x:c r="I143" s="20" t="n">
        <x:f>IF(OR(C143="",D143=""),0,MAX(0,(D143-C143)*24-E143))</x:f>
        <x:v>0</x:v>
      </x:c>
      <x:c r="J143" s="20" t="n">
        <x:f>MIN(I143,H143)</x:f>
        <x:v>0</x:v>
      </x:c>
      <x:c r="K143" s="20" t="n">
        <x:f>MAX(0,I143-H143)</x:f>
        <x:v>0</x:v>
      </x:c>
      <x:c r="L143" s="20" t="n">
        <x:f>IF(F143="Unpaid",G143,0)</x:f>
        <x:v>0</x:v>
      </x:c>
      <x:c r="M143" s="17" t="str">
        <x:f>IF(B143="","",IF(F143="Paid","مرخصی با حقوق",IF(F143="Unpaid","مرخصی بدون حقوق",IF(K143&gt;0,"اضافه‌کاری","عادی"))))</x:f>
      </x:c>
    </x:row>
    <x:row r="144">
      <x:c r="A144" s="14"/>
      <x:c r="B144" s="13"/>
      <x:c r="C144" s="18"/>
      <x:c r="D144" s="18"/>
      <x:c r="E144" s="19"/>
      <x:c r="F144" s="19"/>
      <x:c r="G144" s="19"/>
      <x:c r="H144" s="19"/>
      <x:c r="I144" s="20" t="n">
        <x:f>IF(OR(C144="",D144=""),0,MAX(0,(D144-C144)*24-E144))</x:f>
        <x:v>0</x:v>
      </x:c>
      <x:c r="J144" s="20" t="n">
        <x:f>MIN(I144,H144)</x:f>
        <x:v>0</x:v>
      </x:c>
      <x:c r="K144" s="20" t="n">
        <x:f>MAX(0,I144-H144)</x:f>
        <x:v>0</x:v>
      </x:c>
      <x:c r="L144" s="20" t="n">
        <x:f>IF(F144="Unpaid",G144,0)</x:f>
        <x:v>0</x:v>
      </x:c>
      <x:c r="M144" s="17" t="str">
        <x:f>IF(B144="","",IF(F144="Paid","مرخصی با حقوق",IF(F144="Unpaid","مرخصی بدون حقوق",IF(K144&gt;0,"اضافه‌کاری","عادی"))))</x:f>
      </x:c>
    </x:row>
    <x:row r="145">
      <x:c r="A145" s="14"/>
      <x:c r="B145" s="13"/>
      <x:c r="C145" s="18"/>
      <x:c r="D145" s="18"/>
      <x:c r="E145" s="19"/>
      <x:c r="F145" s="19"/>
      <x:c r="G145" s="19"/>
      <x:c r="H145" s="19"/>
      <x:c r="I145" s="20" t="n">
        <x:f>IF(OR(C145="",D145=""),0,MAX(0,(D145-C145)*24-E145))</x:f>
        <x:v>0</x:v>
      </x:c>
      <x:c r="J145" s="20" t="n">
        <x:f>MIN(I145,H145)</x:f>
        <x:v>0</x:v>
      </x:c>
      <x:c r="K145" s="20" t="n">
        <x:f>MAX(0,I145-H145)</x:f>
        <x:v>0</x:v>
      </x:c>
      <x:c r="L145" s="20" t="n">
        <x:f>IF(F145="Unpaid",G145,0)</x:f>
        <x:v>0</x:v>
      </x:c>
      <x:c r="M145" s="17" t="str">
        <x:f>IF(B145="","",IF(F145="Paid","مرخصی با حقوق",IF(F145="Unpaid","مرخصی بدون حقوق",IF(K145&gt;0,"اضافه‌کاری","عادی"))))</x:f>
      </x:c>
    </x:row>
    <x:row r="146">
      <x:c r="A146" s="14"/>
      <x:c r="B146" s="13"/>
      <x:c r="C146" s="18"/>
      <x:c r="D146" s="18"/>
      <x:c r="E146" s="19"/>
      <x:c r="F146" s="19"/>
      <x:c r="G146" s="19"/>
      <x:c r="H146" s="19"/>
      <x:c r="I146" s="20" t="n">
        <x:f>IF(OR(C146="",D146=""),0,MAX(0,(D146-C146)*24-E146))</x:f>
        <x:v>0</x:v>
      </x:c>
      <x:c r="J146" s="20" t="n">
        <x:f>MIN(I146,H146)</x:f>
        <x:v>0</x:v>
      </x:c>
      <x:c r="K146" s="20" t="n">
        <x:f>MAX(0,I146-H146)</x:f>
        <x:v>0</x:v>
      </x:c>
      <x:c r="L146" s="20" t="n">
        <x:f>IF(F146="Unpaid",G146,0)</x:f>
        <x:v>0</x:v>
      </x:c>
      <x:c r="M146" s="17" t="str">
        <x:f>IF(B146="","",IF(F146="Paid","مرخصی با حقوق",IF(F146="Unpaid","مرخصی بدون حقوق",IF(K146&gt;0,"اضافه‌کاری","عادی"))))</x:f>
      </x:c>
    </x:row>
    <x:row r="147">
      <x:c r="A147" s="14"/>
      <x:c r="B147" s="13"/>
      <x:c r="C147" s="18"/>
      <x:c r="D147" s="18"/>
      <x:c r="E147" s="19"/>
      <x:c r="F147" s="19"/>
      <x:c r="G147" s="19"/>
      <x:c r="H147" s="19"/>
      <x:c r="I147" s="20" t="n">
        <x:f>IF(OR(C147="",D147=""),0,MAX(0,(D147-C147)*24-E147))</x:f>
        <x:v>0</x:v>
      </x:c>
      <x:c r="J147" s="20" t="n">
        <x:f>MIN(I147,H147)</x:f>
        <x:v>0</x:v>
      </x:c>
      <x:c r="K147" s="20" t="n">
        <x:f>MAX(0,I147-H147)</x:f>
        <x:v>0</x:v>
      </x:c>
      <x:c r="L147" s="20" t="n">
        <x:f>IF(F147="Unpaid",G147,0)</x:f>
        <x:v>0</x:v>
      </x:c>
      <x:c r="M147" s="17" t="str">
        <x:f>IF(B147="","",IF(F147="Paid","مرخصی با حقوق",IF(F147="Unpaid","مرخصی بدون حقوق",IF(K147&gt;0,"اضافه‌کاری","عادی"))))</x:f>
      </x:c>
    </x:row>
    <x:row r="148">
      <x:c r="A148" s="14"/>
      <x:c r="B148" s="13"/>
      <x:c r="C148" s="18"/>
      <x:c r="D148" s="18"/>
      <x:c r="E148" s="19"/>
      <x:c r="F148" s="19"/>
      <x:c r="G148" s="19"/>
      <x:c r="H148" s="19"/>
      <x:c r="I148" s="20" t="n">
        <x:f>IF(OR(C148="",D148=""),0,MAX(0,(D148-C148)*24-E148))</x:f>
        <x:v>0</x:v>
      </x:c>
      <x:c r="J148" s="20" t="n">
        <x:f>MIN(I148,H148)</x:f>
        <x:v>0</x:v>
      </x:c>
      <x:c r="K148" s="20" t="n">
        <x:f>MAX(0,I148-H148)</x:f>
        <x:v>0</x:v>
      </x:c>
      <x:c r="L148" s="20" t="n">
        <x:f>IF(F148="Unpaid",G148,0)</x:f>
        <x:v>0</x:v>
      </x:c>
      <x:c r="M148" s="17" t="str">
        <x:f>IF(B148="","",IF(F148="Paid","مرخصی با حقوق",IF(F148="Unpaid","مرخصی بدون حقوق",IF(K148&gt;0,"اضافه‌کاری","عادی"))))</x:f>
      </x:c>
    </x:row>
    <x:row r="149">
      <x:c r="A149" s="14"/>
      <x:c r="B149" s="13"/>
      <x:c r="C149" s="18"/>
      <x:c r="D149" s="18"/>
      <x:c r="E149" s="19"/>
      <x:c r="F149" s="19"/>
      <x:c r="G149" s="19"/>
      <x:c r="H149" s="19"/>
      <x:c r="I149" s="20" t="n">
        <x:f>IF(OR(C149="",D149=""),0,MAX(0,(D149-C149)*24-E149))</x:f>
        <x:v>0</x:v>
      </x:c>
      <x:c r="J149" s="20" t="n">
        <x:f>MIN(I149,H149)</x:f>
        <x:v>0</x:v>
      </x:c>
      <x:c r="K149" s="20" t="n">
        <x:f>MAX(0,I149-H149)</x:f>
        <x:v>0</x:v>
      </x:c>
      <x:c r="L149" s="20" t="n">
        <x:f>IF(F149="Unpaid",G149,0)</x:f>
        <x:v>0</x:v>
      </x:c>
      <x:c r="M149" s="17" t="str">
        <x:f>IF(B149="","",IF(F149="Paid","مرخصی با حقوق",IF(F149="Unpaid","مرخصی بدون حقوق",IF(K149&gt;0,"اضافه‌کاری","عادی"))))</x:f>
      </x:c>
    </x:row>
    <x:row r="150">
      <x:c r="A150" s="14"/>
      <x:c r="B150" s="13"/>
      <x:c r="C150" s="18"/>
      <x:c r="D150" s="18"/>
      <x:c r="E150" s="19"/>
      <x:c r="F150" s="19"/>
      <x:c r="G150" s="19"/>
      <x:c r="H150" s="19"/>
      <x:c r="I150" s="20" t="n">
        <x:f>IF(OR(C150="",D150=""),0,MAX(0,(D150-C150)*24-E150))</x:f>
        <x:v>0</x:v>
      </x:c>
      <x:c r="J150" s="20" t="n">
        <x:f>MIN(I150,H150)</x:f>
        <x:v>0</x:v>
      </x:c>
      <x:c r="K150" s="20" t="n">
        <x:f>MAX(0,I150-H150)</x:f>
        <x:v>0</x:v>
      </x:c>
      <x:c r="L150" s="20" t="n">
        <x:f>IF(F150="Unpaid",G150,0)</x:f>
        <x:v>0</x:v>
      </x:c>
      <x:c r="M150" s="17" t="str">
        <x:f>IF(B150="","",IF(F150="Paid","مرخصی با حقوق",IF(F150="Unpaid","مرخصی بدون حقوق",IF(K150&gt;0,"اضافه‌کاری","عادی"))))</x:f>
      </x:c>
    </x:row>
    <x:row r="151">
      <x:c r="A151" s="14"/>
      <x:c r="B151" s="13"/>
      <x:c r="C151" s="18"/>
      <x:c r="D151" s="18"/>
      <x:c r="E151" s="19"/>
      <x:c r="F151" s="19"/>
      <x:c r="G151" s="19"/>
      <x:c r="H151" s="19"/>
      <x:c r="I151" s="20" t="n">
        <x:f>IF(OR(C151="",D151=""),0,MAX(0,(D151-C151)*24-E151))</x:f>
        <x:v>0</x:v>
      </x:c>
      <x:c r="J151" s="20" t="n">
        <x:f>MIN(I151,H151)</x:f>
        <x:v>0</x:v>
      </x:c>
      <x:c r="K151" s="20" t="n">
        <x:f>MAX(0,I151-H151)</x:f>
        <x:v>0</x:v>
      </x:c>
      <x:c r="L151" s="20" t="n">
        <x:f>IF(F151="Unpaid",G151,0)</x:f>
        <x:v>0</x:v>
      </x:c>
      <x:c r="M151" s="17" t="str">
        <x:f>IF(B151="","",IF(F151="Paid","مرخصی با حقوق",IF(F151="Unpaid","مرخصی بدون حقوق",IF(K151&gt;0,"اضافه‌کاری","عادی"))))</x:f>
      </x:c>
    </x:row>
    <x:row r="152">
      <x:c r="A152" s="14"/>
      <x:c r="B152" s="13"/>
      <x:c r="C152" s="18"/>
      <x:c r="D152" s="18"/>
      <x:c r="E152" s="19"/>
      <x:c r="F152" s="19"/>
      <x:c r="G152" s="19"/>
      <x:c r="H152" s="19"/>
      <x:c r="I152" s="20" t="n">
        <x:f>IF(OR(C152="",D152=""),0,MAX(0,(D152-C152)*24-E152))</x:f>
        <x:v>0</x:v>
      </x:c>
      <x:c r="J152" s="20" t="n">
        <x:f>MIN(I152,H152)</x:f>
        <x:v>0</x:v>
      </x:c>
      <x:c r="K152" s="20" t="n">
        <x:f>MAX(0,I152-H152)</x:f>
        <x:v>0</x:v>
      </x:c>
      <x:c r="L152" s="20" t="n">
        <x:f>IF(F152="Unpaid",G152,0)</x:f>
        <x:v>0</x:v>
      </x:c>
      <x:c r="M152" s="17" t="str">
        <x:f>IF(B152="","",IF(F152="Paid","مرخصی با حقوق",IF(F152="Unpaid","مرخصی بدون حقوق",IF(K152&gt;0,"اضافه‌کاری","عادی"))))</x:f>
      </x:c>
    </x:row>
    <x:row r="153">
      <x:c r="A153" s="14"/>
      <x:c r="B153" s="13"/>
      <x:c r="C153" s="18"/>
      <x:c r="D153" s="18"/>
      <x:c r="E153" s="19"/>
      <x:c r="F153" s="19"/>
      <x:c r="G153" s="19"/>
      <x:c r="H153" s="19"/>
      <x:c r="I153" s="20" t="n">
        <x:f>IF(OR(C153="",D153=""),0,MAX(0,(D153-C153)*24-E153))</x:f>
        <x:v>0</x:v>
      </x:c>
      <x:c r="J153" s="20" t="n">
        <x:f>MIN(I153,H153)</x:f>
        <x:v>0</x:v>
      </x:c>
      <x:c r="K153" s="20" t="n">
        <x:f>MAX(0,I153-H153)</x:f>
        <x:v>0</x:v>
      </x:c>
      <x:c r="L153" s="20" t="n">
        <x:f>IF(F153="Unpaid",G153,0)</x:f>
        <x:v>0</x:v>
      </x:c>
      <x:c r="M153" s="17" t="str">
        <x:f>IF(B153="","",IF(F153="Paid","مرخصی با حقوق",IF(F153="Unpaid","مرخصی بدون حقوق",IF(K153&gt;0,"اضافه‌کاری","عادی"))))</x:f>
      </x:c>
    </x:row>
    <x:row r="154">
      <x:c r="A154" s="14"/>
      <x:c r="B154" s="13"/>
      <x:c r="C154" s="18"/>
      <x:c r="D154" s="18"/>
      <x:c r="E154" s="19"/>
      <x:c r="F154" s="19"/>
      <x:c r="G154" s="19"/>
      <x:c r="H154" s="19"/>
      <x:c r="I154" s="20" t="n">
        <x:f>IF(OR(C154="",D154=""),0,MAX(0,(D154-C154)*24-E154))</x:f>
        <x:v>0</x:v>
      </x:c>
      <x:c r="J154" s="20" t="n">
        <x:f>MIN(I154,H154)</x:f>
        <x:v>0</x:v>
      </x:c>
      <x:c r="K154" s="20" t="n">
        <x:f>MAX(0,I154-H154)</x:f>
        <x:v>0</x:v>
      </x:c>
      <x:c r="L154" s="20" t="n">
        <x:f>IF(F154="Unpaid",G154,0)</x:f>
        <x:v>0</x:v>
      </x:c>
      <x:c r="M154" s="17" t="str">
        <x:f>IF(B154="","",IF(F154="Paid","مرخصی با حقوق",IF(F154="Unpaid","مرخصی بدون حقوق",IF(K154&gt;0,"اضافه‌کاری","عادی"))))</x:f>
      </x:c>
    </x:row>
    <x:row r="155">
      <x:c r="A155" s="14"/>
      <x:c r="B155" s="13"/>
      <x:c r="C155" s="18"/>
      <x:c r="D155" s="18"/>
      <x:c r="E155" s="19"/>
      <x:c r="F155" s="19"/>
      <x:c r="G155" s="19"/>
      <x:c r="H155" s="19"/>
      <x:c r="I155" s="20" t="n">
        <x:f>IF(OR(C155="",D155=""),0,MAX(0,(D155-C155)*24-E155))</x:f>
        <x:v>0</x:v>
      </x:c>
      <x:c r="J155" s="20" t="n">
        <x:f>MIN(I155,H155)</x:f>
        <x:v>0</x:v>
      </x:c>
      <x:c r="K155" s="20" t="n">
        <x:f>MAX(0,I155-H155)</x:f>
        <x:v>0</x:v>
      </x:c>
      <x:c r="L155" s="20" t="n">
        <x:f>IF(F155="Unpaid",G155,0)</x:f>
        <x:v>0</x:v>
      </x:c>
      <x:c r="M155" s="17" t="str">
        <x:f>IF(B155="","",IF(F155="Paid","مرخصی با حقوق",IF(F155="Unpaid","مرخصی بدون حقوق",IF(K155&gt;0,"اضافه‌کاری","عادی"))))</x:f>
      </x:c>
    </x:row>
    <x:row r="156">
      <x:c r="A156" s="14"/>
      <x:c r="B156" s="13"/>
      <x:c r="C156" s="18"/>
      <x:c r="D156" s="18"/>
      <x:c r="E156" s="19"/>
      <x:c r="F156" s="19"/>
      <x:c r="G156" s="19"/>
      <x:c r="H156" s="19"/>
      <x:c r="I156" s="20" t="n">
        <x:f>IF(OR(C156="",D156=""),0,MAX(0,(D156-C156)*24-E156))</x:f>
        <x:v>0</x:v>
      </x:c>
      <x:c r="J156" s="20" t="n">
        <x:f>MIN(I156,H156)</x:f>
        <x:v>0</x:v>
      </x:c>
      <x:c r="K156" s="20" t="n">
        <x:f>MAX(0,I156-H156)</x:f>
        <x:v>0</x:v>
      </x:c>
      <x:c r="L156" s="20" t="n">
        <x:f>IF(F156="Unpaid",G156,0)</x:f>
        <x:v>0</x:v>
      </x:c>
      <x:c r="M156" s="17" t="str">
        <x:f>IF(B156="","",IF(F156="Paid","مرخصی با حقوق",IF(F156="Unpaid","مرخصی بدون حقوق",IF(K156&gt;0,"اضافه‌کاری","عادی"))))</x:f>
      </x:c>
    </x:row>
    <x:row r="157">
      <x:c r="A157" s="14"/>
      <x:c r="B157" s="13"/>
      <x:c r="C157" s="18"/>
      <x:c r="D157" s="18"/>
      <x:c r="E157" s="19"/>
      <x:c r="F157" s="19"/>
      <x:c r="G157" s="19"/>
      <x:c r="H157" s="19"/>
      <x:c r="I157" s="20" t="n">
        <x:f>IF(OR(C157="",D157=""),0,MAX(0,(D157-C157)*24-E157))</x:f>
        <x:v>0</x:v>
      </x:c>
      <x:c r="J157" s="20" t="n">
        <x:f>MIN(I157,H157)</x:f>
        <x:v>0</x:v>
      </x:c>
      <x:c r="K157" s="20" t="n">
        <x:f>MAX(0,I157-H157)</x:f>
        <x:v>0</x:v>
      </x:c>
      <x:c r="L157" s="20" t="n">
        <x:f>IF(F157="Unpaid",G157,0)</x:f>
        <x:v>0</x:v>
      </x:c>
      <x:c r="M157" s="17" t="str">
        <x:f>IF(B157="","",IF(F157="Paid","مرخصی با حقوق",IF(F157="Unpaid","مرخصی بدون حقوق",IF(K157&gt;0,"اضافه‌کاری","عادی"))))</x:f>
      </x:c>
    </x:row>
    <x:row r="158">
      <x:c r="A158" s="14"/>
      <x:c r="B158" s="13"/>
      <x:c r="C158" s="18"/>
      <x:c r="D158" s="18"/>
      <x:c r="E158" s="19"/>
      <x:c r="F158" s="19"/>
      <x:c r="G158" s="19"/>
      <x:c r="H158" s="19"/>
      <x:c r="I158" s="20" t="n">
        <x:f>IF(OR(C158="",D158=""),0,MAX(0,(D158-C158)*24-E158))</x:f>
        <x:v>0</x:v>
      </x:c>
      <x:c r="J158" s="20" t="n">
        <x:f>MIN(I158,H158)</x:f>
        <x:v>0</x:v>
      </x:c>
      <x:c r="K158" s="20" t="n">
        <x:f>MAX(0,I158-H158)</x:f>
        <x:v>0</x:v>
      </x:c>
      <x:c r="L158" s="20" t="n">
        <x:f>IF(F158="Unpaid",G158,0)</x:f>
        <x:v>0</x:v>
      </x:c>
      <x:c r="M158" s="17" t="str">
        <x:f>IF(B158="","",IF(F158="Paid","مرخصی با حقوق",IF(F158="Unpaid","مرخصی بدون حقوق",IF(K158&gt;0,"اضافه‌کاری","عادی"))))</x:f>
      </x:c>
    </x:row>
    <x:row r="159">
      <x:c r="A159" s="14"/>
      <x:c r="B159" s="13"/>
      <x:c r="C159" s="18"/>
      <x:c r="D159" s="18"/>
      <x:c r="E159" s="19"/>
      <x:c r="F159" s="19"/>
      <x:c r="G159" s="19"/>
      <x:c r="H159" s="19"/>
      <x:c r="I159" s="20" t="n">
        <x:f>IF(OR(C159="",D159=""),0,MAX(0,(D159-C159)*24-E159))</x:f>
        <x:v>0</x:v>
      </x:c>
      <x:c r="J159" s="20" t="n">
        <x:f>MIN(I159,H159)</x:f>
        <x:v>0</x:v>
      </x:c>
      <x:c r="K159" s="20" t="n">
        <x:f>MAX(0,I159-H159)</x:f>
        <x:v>0</x:v>
      </x:c>
      <x:c r="L159" s="20" t="n">
        <x:f>IF(F159="Unpaid",G159,0)</x:f>
        <x:v>0</x:v>
      </x:c>
      <x:c r="M159" s="17" t="str">
        <x:f>IF(B159="","",IF(F159="Paid","مرخصی با حقوق",IF(F159="Unpaid","مرخصی بدون حقوق",IF(K159&gt;0,"اضافه‌کاری","عادی"))))</x:f>
      </x:c>
    </x:row>
    <x:row r="160">
      <x:c r="A160" s="14"/>
      <x:c r="B160" s="13"/>
      <x:c r="C160" s="18"/>
      <x:c r="D160" s="18"/>
      <x:c r="E160" s="19"/>
      <x:c r="F160" s="19"/>
      <x:c r="G160" s="19"/>
      <x:c r="H160" s="19"/>
      <x:c r="I160" s="20" t="n">
        <x:f>IF(OR(C160="",D160=""),0,MAX(0,(D160-C160)*24-E160))</x:f>
        <x:v>0</x:v>
      </x:c>
      <x:c r="J160" s="20" t="n">
        <x:f>MIN(I160,H160)</x:f>
        <x:v>0</x:v>
      </x:c>
      <x:c r="K160" s="20" t="n">
        <x:f>MAX(0,I160-H160)</x:f>
        <x:v>0</x:v>
      </x:c>
      <x:c r="L160" s="20" t="n">
        <x:f>IF(F160="Unpaid",G160,0)</x:f>
        <x:v>0</x:v>
      </x:c>
      <x:c r="M160" s="17" t="str">
        <x:f>IF(B160="","",IF(F160="Paid","مرخصی با حقوق",IF(F160="Unpaid","مرخصی بدون حقوق",IF(K160&gt;0,"اضافه‌کاری","عادی"))))</x:f>
      </x:c>
    </x:row>
    <x:row r="161">
      <x:c r="A161" s="14"/>
      <x:c r="B161" s="13"/>
      <x:c r="C161" s="18"/>
      <x:c r="D161" s="18"/>
      <x:c r="E161" s="19"/>
      <x:c r="F161" s="19"/>
      <x:c r="G161" s="19"/>
      <x:c r="H161" s="19"/>
      <x:c r="I161" s="20" t="n">
        <x:f>IF(OR(C161="",D161=""),0,MAX(0,(D161-C161)*24-E161))</x:f>
        <x:v>0</x:v>
      </x:c>
      <x:c r="J161" s="20" t="n">
        <x:f>MIN(I161,H161)</x:f>
        <x:v>0</x:v>
      </x:c>
      <x:c r="K161" s="20" t="n">
        <x:f>MAX(0,I161-H161)</x:f>
        <x:v>0</x:v>
      </x:c>
      <x:c r="L161" s="20" t="n">
        <x:f>IF(F161="Unpaid",G161,0)</x:f>
        <x:v>0</x:v>
      </x:c>
      <x:c r="M161" s="17" t="str">
        <x:f>IF(B161="","",IF(F161="Paid","مرخصی با حقوق",IF(F161="Unpaid","مرخصی بدون حقوق",IF(K161&gt;0,"اضافه‌کاری","عادی"))))</x:f>
      </x:c>
    </x:row>
    <x:row r="162">
      <x:c r="A162" s="14"/>
      <x:c r="B162" s="13"/>
      <x:c r="C162" s="18"/>
      <x:c r="D162" s="18"/>
      <x:c r="E162" s="19"/>
      <x:c r="F162" s="19"/>
      <x:c r="G162" s="19"/>
      <x:c r="H162" s="19"/>
      <x:c r="I162" s="20" t="n">
        <x:f>IF(OR(C162="",D162=""),0,MAX(0,(D162-C162)*24-E162))</x:f>
        <x:v>0</x:v>
      </x:c>
      <x:c r="J162" s="20" t="n">
        <x:f>MIN(I162,H162)</x:f>
        <x:v>0</x:v>
      </x:c>
      <x:c r="K162" s="20" t="n">
        <x:f>MAX(0,I162-H162)</x:f>
        <x:v>0</x:v>
      </x:c>
      <x:c r="L162" s="20" t="n">
        <x:f>IF(F162="Unpaid",G162,0)</x:f>
        <x:v>0</x:v>
      </x:c>
      <x:c r="M162" s="17" t="str">
        <x:f>IF(B162="","",IF(F162="Paid","مرخصی با حقوق",IF(F162="Unpaid","مرخصی بدون حقوق",IF(K162&gt;0,"اضافه‌کاری","عادی"))))</x:f>
      </x:c>
    </x:row>
    <x:row r="163">
      <x:c r="A163" s="14"/>
      <x:c r="B163" s="13"/>
      <x:c r="C163" s="18"/>
      <x:c r="D163" s="18"/>
      <x:c r="E163" s="19"/>
      <x:c r="F163" s="19"/>
      <x:c r="G163" s="19"/>
      <x:c r="H163" s="19"/>
      <x:c r="I163" s="20" t="n">
        <x:f>IF(OR(C163="",D163=""),0,MAX(0,(D163-C163)*24-E163))</x:f>
        <x:v>0</x:v>
      </x:c>
      <x:c r="J163" s="20" t="n">
        <x:f>MIN(I163,H163)</x:f>
        <x:v>0</x:v>
      </x:c>
      <x:c r="K163" s="20" t="n">
        <x:f>MAX(0,I163-H163)</x:f>
        <x:v>0</x:v>
      </x:c>
      <x:c r="L163" s="20" t="n">
        <x:f>IF(F163="Unpaid",G163,0)</x:f>
        <x:v>0</x:v>
      </x:c>
      <x:c r="M163" s="17" t="str">
        <x:f>IF(B163="","",IF(F163="Paid","مرخصی با حقوق",IF(F163="Unpaid","مرخصی بدون حقوق",IF(K163&gt;0,"اضافه‌کاری","عادی"))))</x:f>
      </x:c>
    </x:row>
    <x:row r="164">
      <x:c r="A164" s="14"/>
      <x:c r="B164" s="13"/>
      <x:c r="C164" s="18"/>
      <x:c r="D164" s="18"/>
      <x:c r="E164" s="19"/>
      <x:c r="F164" s="19"/>
      <x:c r="G164" s="19"/>
      <x:c r="H164" s="19"/>
      <x:c r="I164" s="20" t="n">
        <x:f>IF(OR(C164="",D164=""),0,MAX(0,(D164-C164)*24-E164))</x:f>
        <x:v>0</x:v>
      </x:c>
      <x:c r="J164" s="20" t="n">
        <x:f>MIN(I164,H164)</x:f>
        <x:v>0</x:v>
      </x:c>
      <x:c r="K164" s="20" t="n">
        <x:f>MAX(0,I164-H164)</x:f>
        <x:v>0</x:v>
      </x:c>
      <x:c r="L164" s="20" t="n">
        <x:f>IF(F164="Unpaid",G164,0)</x:f>
        <x:v>0</x:v>
      </x:c>
      <x:c r="M164" s="17" t="str">
        <x:f>IF(B164="","",IF(F164="Paid","مرخصی با حقوق",IF(F164="Unpaid","مرخصی بدون حقوق",IF(K164&gt;0,"اضافه‌کاری","عادی"))))</x:f>
      </x:c>
    </x:row>
    <x:row r="165">
      <x:c r="A165" s="14"/>
      <x:c r="B165" s="13"/>
      <x:c r="C165" s="18"/>
      <x:c r="D165" s="18"/>
      <x:c r="E165" s="19"/>
      <x:c r="F165" s="19"/>
      <x:c r="G165" s="19"/>
      <x:c r="H165" s="19"/>
      <x:c r="I165" s="20" t="n">
        <x:f>IF(OR(C165="",D165=""),0,MAX(0,(D165-C165)*24-E165))</x:f>
        <x:v>0</x:v>
      </x:c>
      <x:c r="J165" s="20" t="n">
        <x:f>MIN(I165,H165)</x:f>
        <x:v>0</x:v>
      </x:c>
      <x:c r="K165" s="20" t="n">
        <x:f>MAX(0,I165-H165)</x:f>
        <x:v>0</x:v>
      </x:c>
      <x:c r="L165" s="20" t="n">
        <x:f>IF(F165="Unpaid",G165,0)</x:f>
        <x:v>0</x:v>
      </x:c>
      <x:c r="M165" s="17" t="str">
        <x:f>IF(B165="","",IF(F165="Paid","مرخصی با حقوق",IF(F165="Unpaid","مرخصی بدون حقوق",IF(K165&gt;0,"اضافه‌کاری","عادی"))))</x:f>
      </x:c>
    </x:row>
    <x:row r="166">
      <x:c r="A166" s="14"/>
      <x:c r="B166" s="13"/>
      <x:c r="C166" s="18"/>
      <x:c r="D166" s="18"/>
      <x:c r="E166" s="19"/>
      <x:c r="F166" s="19"/>
      <x:c r="G166" s="19"/>
      <x:c r="H166" s="19"/>
      <x:c r="I166" s="20" t="n">
        <x:f>IF(OR(C166="",D166=""),0,MAX(0,(D166-C166)*24-E166))</x:f>
        <x:v>0</x:v>
      </x:c>
      <x:c r="J166" s="20" t="n">
        <x:f>MIN(I166,H166)</x:f>
        <x:v>0</x:v>
      </x:c>
      <x:c r="K166" s="20" t="n">
        <x:f>MAX(0,I166-H166)</x:f>
        <x:v>0</x:v>
      </x:c>
      <x:c r="L166" s="20" t="n">
        <x:f>IF(F166="Unpaid",G166,0)</x:f>
        <x:v>0</x:v>
      </x:c>
      <x:c r="M166" s="17" t="str">
        <x:f>IF(B166="","",IF(F166="Paid","مرخصی با حقوق",IF(F166="Unpaid","مرخصی بدون حقوق",IF(K166&gt;0,"اضافه‌کاری","عادی"))))</x:f>
      </x:c>
    </x:row>
    <x:row r="167">
      <x:c r="A167" s="14"/>
      <x:c r="B167" s="13"/>
      <x:c r="C167" s="18"/>
      <x:c r="D167" s="18"/>
      <x:c r="E167" s="19"/>
      <x:c r="F167" s="19"/>
      <x:c r="G167" s="19"/>
      <x:c r="H167" s="19"/>
      <x:c r="I167" s="20" t="n">
        <x:f>IF(OR(C167="",D167=""),0,MAX(0,(D167-C167)*24-E167))</x:f>
        <x:v>0</x:v>
      </x:c>
      <x:c r="J167" s="20" t="n">
        <x:f>MIN(I167,H167)</x:f>
        <x:v>0</x:v>
      </x:c>
      <x:c r="K167" s="20" t="n">
        <x:f>MAX(0,I167-H167)</x:f>
        <x:v>0</x:v>
      </x:c>
      <x:c r="L167" s="20" t="n">
        <x:f>IF(F167="Unpaid",G167,0)</x:f>
        <x:v>0</x:v>
      </x:c>
      <x:c r="M167" s="17" t="str">
        <x:f>IF(B167="","",IF(F167="Paid","مرخصی با حقوق",IF(F167="Unpaid","مرخصی بدون حقوق",IF(K167&gt;0,"اضافه‌کاری","عادی"))))</x:f>
      </x:c>
    </x:row>
    <x:row r="168">
      <x:c r="A168" s="14"/>
      <x:c r="B168" s="13"/>
      <x:c r="C168" s="18"/>
      <x:c r="D168" s="18"/>
      <x:c r="E168" s="19"/>
      <x:c r="F168" s="19"/>
      <x:c r="G168" s="19"/>
      <x:c r="H168" s="19"/>
      <x:c r="I168" s="20" t="n">
        <x:f>IF(OR(C168="",D168=""),0,MAX(0,(D168-C168)*24-E168))</x:f>
        <x:v>0</x:v>
      </x:c>
      <x:c r="J168" s="20" t="n">
        <x:f>MIN(I168,H168)</x:f>
        <x:v>0</x:v>
      </x:c>
      <x:c r="K168" s="20" t="n">
        <x:f>MAX(0,I168-H168)</x:f>
        <x:v>0</x:v>
      </x:c>
      <x:c r="L168" s="20" t="n">
        <x:f>IF(F168="Unpaid",G168,0)</x:f>
        <x:v>0</x:v>
      </x:c>
      <x:c r="M168" s="17" t="str">
        <x:f>IF(B168="","",IF(F168="Paid","مرخصی با حقوق",IF(F168="Unpaid","مرخصی بدون حقوق",IF(K168&gt;0,"اضافه‌کاری","عادی"))))</x:f>
      </x:c>
    </x:row>
    <x:row r="169">
      <x:c r="A169" s="14"/>
      <x:c r="B169" s="13"/>
      <x:c r="C169" s="18"/>
      <x:c r="D169" s="18"/>
      <x:c r="E169" s="19"/>
      <x:c r="F169" s="19"/>
      <x:c r="G169" s="19"/>
      <x:c r="H169" s="19"/>
      <x:c r="I169" s="20" t="n">
        <x:f>IF(OR(C169="",D169=""),0,MAX(0,(D169-C169)*24-E169))</x:f>
        <x:v>0</x:v>
      </x:c>
      <x:c r="J169" s="20" t="n">
        <x:f>MIN(I169,H169)</x:f>
        <x:v>0</x:v>
      </x:c>
      <x:c r="K169" s="20" t="n">
        <x:f>MAX(0,I169-H169)</x:f>
        <x:v>0</x:v>
      </x:c>
      <x:c r="L169" s="20" t="n">
        <x:f>IF(F169="Unpaid",G169,0)</x:f>
        <x:v>0</x:v>
      </x:c>
      <x:c r="M169" s="17" t="str">
        <x:f>IF(B169="","",IF(F169="Paid","مرخصی با حقوق",IF(F169="Unpaid","مرخصی بدون حقوق",IF(K169&gt;0,"اضافه‌کاری","عادی"))))</x:f>
      </x:c>
    </x:row>
    <x:row r="170">
      <x:c r="A170" s="14"/>
      <x:c r="B170" s="13"/>
      <x:c r="C170" s="18"/>
      <x:c r="D170" s="18"/>
      <x:c r="E170" s="19"/>
      <x:c r="F170" s="19"/>
      <x:c r="G170" s="19"/>
      <x:c r="H170" s="19"/>
      <x:c r="I170" s="20" t="n">
        <x:f>IF(OR(C170="",D170=""),0,MAX(0,(D170-C170)*24-E170))</x:f>
        <x:v>0</x:v>
      </x:c>
      <x:c r="J170" s="20" t="n">
        <x:f>MIN(I170,H170)</x:f>
        <x:v>0</x:v>
      </x:c>
      <x:c r="K170" s="20" t="n">
        <x:f>MAX(0,I170-H170)</x:f>
        <x:v>0</x:v>
      </x:c>
      <x:c r="L170" s="20" t="n">
        <x:f>IF(F170="Unpaid",G170,0)</x:f>
        <x:v>0</x:v>
      </x:c>
      <x:c r="M170" s="17" t="str">
        <x:f>IF(B170="","",IF(F170="Paid","مرخصی با حقوق",IF(F170="Unpaid","مرخصی بدون حقوق",IF(K170&gt;0,"اضافه‌کاری","عادی"))))</x:f>
      </x:c>
    </x:row>
    <x:row r="171">
      <x:c r="A171" s="14"/>
      <x:c r="B171" s="13"/>
      <x:c r="C171" s="18"/>
      <x:c r="D171" s="18"/>
      <x:c r="E171" s="19"/>
      <x:c r="F171" s="19"/>
      <x:c r="G171" s="19"/>
      <x:c r="H171" s="19"/>
      <x:c r="I171" s="20" t="n">
        <x:f>IF(OR(C171="",D171=""),0,MAX(0,(D171-C171)*24-E171))</x:f>
        <x:v>0</x:v>
      </x:c>
      <x:c r="J171" s="20" t="n">
        <x:f>MIN(I171,H171)</x:f>
        <x:v>0</x:v>
      </x:c>
      <x:c r="K171" s="20" t="n">
        <x:f>MAX(0,I171-H171)</x:f>
        <x:v>0</x:v>
      </x:c>
      <x:c r="L171" s="20" t="n">
        <x:f>IF(F171="Unpaid",G171,0)</x:f>
        <x:v>0</x:v>
      </x:c>
      <x:c r="M171" s="17" t="str">
        <x:f>IF(B171="","",IF(F171="Paid","مرخصی با حقوق",IF(F171="Unpaid","مرخصی بدون حقوق",IF(K171&gt;0,"اضافه‌کاری","عادی"))))</x:f>
      </x:c>
    </x:row>
    <x:row r="172">
      <x:c r="A172" s="14"/>
      <x:c r="B172" s="13"/>
      <x:c r="C172" s="18"/>
      <x:c r="D172" s="18"/>
      <x:c r="E172" s="19"/>
      <x:c r="F172" s="19"/>
      <x:c r="G172" s="19"/>
      <x:c r="H172" s="19"/>
      <x:c r="I172" s="20" t="n">
        <x:f>IF(OR(C172="",D172=""),0,MAX(0,(D172-C172)*24-E172))</x:f>
        <x:v>0</x:v>
      </x:c>
      <x:c r="J172" s="20" t="n">
        <x:f>MIN(I172,H172)</x:f>
        <x:v>0</x:v>
      </x:c>
      <x:c r="K172" s="20" t="n">
        <x:f>MAX(0,I172-H172)</x:f>
        <x:v>0</x:v>
      </x:c>
      <x:c r="L172" s="20" t="n">
        <x:f>IF(F172="Unpaid",G172,0)</x:f>
        <x:v>0</x:v>
      </x:c>
      <x:c r="M172" s="17" t="str">
        <x:f>IF(B172="","",IF(F172="Paid","مرخصی با حقوق",IF(F172="Unpaid","مرخصی بدون حقوق",IF(K172&gt;0,"اضافه‌کاری","عادی"))))</x:f>
      </x:c>
    </x:row>
    <x:row r="173">
      <x:c r="A173" s="14"/>
      <x:c r="B173" s="13"/>
      <x:c r="C173" s="18"/>
      <x:c r="D173" s="18"/>
      <x:c r="E173" s="19"/>
      <x:c r="F173" s="19"/>
      <x:c r="G173" s="19"/>
      <x:c r="H173" s="19"/>
      <x:c r="I173" s="20" t="n">
        <x:f>IF(OR(C173="",D173=""),0,MAX(0,(D173-C173)*24-E173))</x:f>
        <x:v>0</x:v>
      </x:c>
      <x:c r="J173" s="20" t="n">
        <x:f>MIN(I173,H173)</x:f>
        <x:v>0</x:v>
      </x:c>
      <x:c r="K173" s="20" t="n">
        <x:f>MAX(0,I173-H173)</x:f>
        <x:v>0</x:v>
      </x:c>
      <x:c r="L173" s="20" t="n">
        <x:f>IF(F173="Unpaid",G173,0)</x:f>
        <x:v>0</x:v>
      </x:c>
      <x:c r="M173" s="17" t="str">
        <x:f>IF(B173="","",IF(F173="Paid","مرخصی با حقوق",IF(F173="Unpaid","مرخصی بدون حقوق",IF(K173&gt;0,"اضافه‌کاری","عادی"))))</x:f>
      </x:c>
    </x:row>
    <x:row r="174">
      <x:c r="A174" s="14"/>
      <x:c r="B174" s="13"/>
      <x:c r="C174" s="18"/>
      <x:c r="D174" s="18"/>
      <x:c r="E174" s="19"/>
      <x:c r="F174" s="19"/>
      <x:c r="G174" s="19"/>
      <x:c r="H174" s="19"/>
      <x:c r="I174" s="20" t="n">
        <x:f>IF(OR(C174="",D174=""),0,MAX(0,(D174-C174)*24-E174))</x:f>
        <x:v>0</x:v>
      </x:c>
      <x:c r="J174" s="20" t="n">
        <x:f>MIN(I174,H174)</x:f>
        <x:v>0</x:v>
      </x:c>
      <x:c r="K174" s="20" t="n">
        <x:f>MAX(0,I174-H174)</x:f>
        <x:v>0</x:v>
      </x:c>
      <x:c r="L174" s="20" t="n">
        <x:f>IF(F174="Unpaid",G174,0)</x:f>
        <x:v>0</x:v>
      </x:c>
      <x:c r="M174" s="17" t="str">
        <x:f>IF(B174="","",IF(F174="Paid","مرخصی با حقوق",IF(F174="Unpaid","مرخصی بدون حقوق",IF(K174&gt;0,"اضافه‌کاری","عادی"))))</x:f>
      </x:c>
    </x:row>
    <x:row r="175">
      <x:c r="A175" s="14"/>
      <x:c r="B175" s="13"/>
      <x:c r="C175" s="18"/>
      <x:c r="D175" s="18"/>
      <x:c r="E175" s="19"/>
      <x:c r="F175" s="19"/>
      <x:c r="G175" s="19"/>
      <x:c r="H175" s="19"/>
      <x:c r="I175" s="20" t="n">
        <x:f>IF(OR(C175="",D175=""),0,MAX(0,(D175-C175)*24-E175))</x:f>
        <x:v>0</x:v>
      </x:c>
      <x:c r="J175" s="20" t="n">
        <x:f>MIN(I175,H175)</x:f>
        <x:v>0</x:v>
      </x:c>
      <x:c r="K175" s="20" t="n">
        <x:f>MAX(0,I175-H175)</x:f>
        <x:v>0</x:v>
      </x:c>
      <x:c r="L175" s="20" t="n">
        <x:f>IF(F175="Unpaid",G175,0)</x:f>
        <x:v>0</x:v>
      </x:c>
      <x:c r="M175" s="17" t="str">
        <x:f>IF(B175="","",IF(F175="Paid","مرخصی با حقوق",IF(F175="Unpaid","مرخصی بدون حقوق",IF(K175&gt;0,"اضافه‌کاری","عادی"))))</x:f>
      </x:c>
    </x:row>
    <x:row r="176">
      <x:c r="A176" s="14"/>
      <x:c r="B176" s="13"/>
      <x:c r="C176" s="18"/>
      <x:c r="D176" s="18"/>
      <x:c r="E176" s="19"/>
      <x:c r="F176" s="19"/>
      <x:c r="G176" s="19"/>
      <x:c r="H176" s="19"/>
      <x:c r="I176" s="20" t="n">
        <x:f>IF(OR(C176="",D176=""),0,MAX(0,(D176-C176)*24-E176))</x:f>
        <x:v>0</x:v>
      </x:c>
      <x:c r="J176" s="20" t="n">
        <x:f>MIN(I176,H176)</x:f>
        <x:v>0</x:v>
      </x:c>
      <x:c r="K176" s="20" t="n">
        <x:f>MAX(0,I176-H176)</x:f>
        <x:v>0</x:v>
      </x:c>
      <x:c r="L176" s="20" t="n">
        <x:f>IF(F176="Unpaid",G176,0)</x:f>
        <x:v>0</x:v>
      </x:c>
      <x:c r="M176" s="17" t="str">
        <x:f>IF(B176="","",IF(F176="Paid","مرخصی با حقوق",IF(F176="Unpaid","مرخصی بدون حقوق",IF(K176&gt;0,"اضافه‌کاری","عادی"))))</x:f>
      </x:c>
    </x:row>
    <x:row r="177">
      <x:c r="A177" s="14"/>
      <x:c r="B177" s="13"/>
      <x:c r="C177" s="18"/>
      <x:c r="D177" s="18"/>
      <x:c r="E177" s="19"/>
      <x:c r="F177" s="19"/>
      <x:c r="G177" s="19"/>
      <x:c r="H177" s="19"/>
      <x:c r="I177" s="20" t="n">
        <x:f>IF(OR(C177="",D177=""),0,MAX(0,(D177-C177)*24-E177))</x:f>
        <x:v>0</x:v>
      </x:c>
      <x:c r="J177" s="20" t="n">
        <x:f>MIN(I177,H177)</x:f>
        <x:v>0</x:v>
      </x:c>
      <x:c r="K177" s="20" t="n">
        <x:f>MAX(0,I177-H177)</x:f>
        <x:v>0</x:v>
      </x:c>
      <x:c r="L177" s="20" t="n">
        <x:f>IF(F177="Unpaid",G177,0)</x:f>
        <x:v>0</x:v>
      </x:c>
      <x:c r="M177" s="17" t="str">
        <x:f>IF(B177="","",IF(F177="Paid","مرخصی با حقوق",IF(F177="Unpaid","مرخصی بدون حقوق",IF(K177&gt;0,"اضافه‌کاری","عادی"))))</x:f>
      </x:c>
    </x:row>
    <x:row r="178">
      <x:c r="A178" s="14"/>
      <x:c r="B178" s="13"/>
      <x:c r="C178" s="18"/>
      <x:c r="D178" s="18"/>
      <x:c r="E178" s="19"/>
      <x:c r="F178" s="19"/>
      <x:c r="G178" s="19"/>
      <x:c r="H178" s="19"/>
      <x:c r="I178" s="20" t="n">
        <x:f>IF(OR(C178="",D178=""),0,MAX(0,(D178-C178)*24-E178))</x:f>
        <x:v>0</x:v>
      </x:c>
      <x:c r="J178" s="20" t="n">
        <x:f>MIN(I178,H178)</x:f>
        <x:v>0</x:v>
      </x:c>
      <x:c r="K178" s="20" t="n">
        <x:f>MAX(0,I178-H178)</x:f>
        <x:v>0</x:v>
      </x:c>
      <x:c r="L178" s="20" t="n">
        <x:f>IF(F178="Unpaid",G178,0)</x:f>
        <x:v>0</x:v>
      </x:c>
      <x:c r="M178" s="17" t="str">
        <x:f>IF(B178="","",IF(F178="Paid","مرخصی با حقوق",IF(F178="Unpaid","مرخصی بدون حقوق",IF(K178&gt;0,"اضافه‌کاری","عادی"))))</x:f>
      </x:c>
    </x:row>
    <x:row r="179">
      <x:c r="A179" s="14"/>
      <x:c r="B179" s="13"/>
      <x:c r="C179" s="18"/>
      <x:c r="D179" s="18"/>
      <x:c r="E179" s="19"/>
      <x:c r="F179" s="19"/>
      <x:c r="G179" s="19"/>
      <x:c r="H179" s="19"/>
      <x:c r="I179" s="20" t="n">
        <x:f>IF(OR(C179="",D179=""),0,MAX(0,(D179-C179)*24-E179))</x:f>
        <x:v>0</x:v>
      </x:c>
      <x:c r="J179" s="20" t="n">
        <x:f>MIN(I179,H179)</x:f>
        <x:v>0</x:v>
      </x:c>
      <x:c r="K179" s="20" t="n">
        <x:f>MAX(0,I179-H179)</x:f>
        <x:v>0</x:v>
      </x:c>
      <x:c r="L179" s="20" t="n">
        <x:f>IF(F179="Unpaid",G179,0)</x:f>
        <x:v>0</x:v>
      </x:c>
      <x:c r="M179" s="17" t="str">
        <x:f>IF(B179="","",IF(F179="Paid","مرخصی با حقوق",IF(F179="Unpaid","مرخصی بدون حقوق",IF(K179&gt;0,"اضافه‌کاری","عادی"))))</x:f>
      </x:c>
    </x:row>
    <x:row r="180">
      <x:c r="A180" s="14"/>
      <x:c r="B180" s="13"/>
      <x:c r="C180" s="18"/>
      <x:c r="D180" s="18"/>
      <x:c r="E180" s="19"/>
      <x:c r="F180" s="19"/>
      <x:c r="G180" s="19"/>
      <x:c r="H180" s="19"/>
      <x:c r="I180" s="20" t="n">
        <x:f>IF(OR(C180="",D180=""),0,MAX(0,(D180-C180)*24-E180))</x:f>
        <x:v>0</x:v>
      </x:c>
      <x:c r="J180" s="20" t="n">
        <x:f>MIN(I180,H180)</x:f>
        <x:v>0</x:v>
      </x:c>
      <x:c r="K180" s="20" t="n">
        <x:f>MAX(0,I180-H180)</x:f>
        <x:v>0</x:v>
      </x:c>
      <x:c r="L180" s="20" t="n">
        <x:f>IF(F180="Unpaid",G180,0)</x:f>
        <x:v>0</x:v>
      </x:c>
      <x:c r="M180" s="17" t="str">
        <x:f>IF(B180="","",IF(F180="Paid","مرخصی با حقوق",IF(F180="Unpaid","مرخصی بدون حقوق",IF(K180&gt;0,"اضافه‌کاری","عادی"))))</x:f>
      </x:c>
    </x:row>
    <x:row r="181">
      <x:c r="A181" s="14"/>
      <x:c r="B181" s="13"/>
      <x:c r="C181" s="18"/>
      <x:c r="D181" s="18"/>
      <x:c r="E181" s="19"/>
      <x:c r="F181" s="19"/>
      <x:c r="G181" s="19"/>
      <x:c r="H181" s="19"/>
      <x:c r="I181" s="20" t="n">
        <x:f>IF(OR(C181="",D181=""),0,MAX(0,(D181-C181)*24-E181))</x:f>
        <x:v>0</x:v>
      </x:c>
      <x:c r="J181" s="20" t="n">
        <x:f>MIN(I181,H181)</x:f>
        <x:v>0</x:v>
      </x:c>
      <x:c r="K181" s="20" t="n">
        <x:f>MAX(0,I181-H181)</x:f>
        <x:v>0</x:v>
      </x:c>
      <x:c r="L181" s="20" t="n">
        <x:f>IF(F181="Unpaid",G181,0)</x:f>
        <x:v>0</x:v>
      </x:c>
      <x:c r="M181" s="17" t="str">
        <x:f>IF(B181="","",IF(F181="Paid","مرخصی با حقوق",IF(F181="Unpaid","مرخصی بدون حقوق",IF(K181&gt;0,"اضافه‌کاری","عادی"))))</x:f>
      </x:c>
    </x:row>
    <x:row r="182">
      <x:c r="A182" s="14"/>
      <x:c r="B182" s="13"/>
      <x:c r="C182" s="18"/>
      <x:c r="D182" s="18"/>
      <x:c r="E182" s="19"/>
      <x:c r="F182" s="19"/>
      <x:c r="G182" s="19"/>
      <x:c r="H182" s="19"/>
      <x:c r="I182" s="20" t="n">
        <x:f>IF(OR(C182="",D182=""),0,MAX(0,(D182-C182)*24-E182))</x:f>
        <x:v>0</x:v>
      </x:c>
      <x:c r="J182" s="20" t="n">
        <x:f>MIN(I182,H182)</x:f>
        <x:v>0</x:v>
      </x:c>
      <x:c r="K182" s="20" t="n">
        <x:f>MAX(0,I182-H182)</x:f>
        <x:v>0</x:v>
      </x:c>
      <x:c r="L182" s="20" t="n">
        <x:f>IF(F182="Unpaid",G182,0)</x:f>
        <x:v>0</x:v>
      </x:c>
      <x:c r="M182" s="17" t="str">
        <x:f>IF(B182="","",IF(F182="Paid","مرخصی با حقوق",IF(F182="Unpaid","مرخصی بدون حقوق",IF(K182&gt;0,"اضافه‌کاری","عادی"))))</x:f>
      </x:c>
    </x:row>
    <x:row r="183">
      <x:c r="A183" s="14"/>
      <x:c r="B183" s="13"/>
      <x:c r="C183" s="18"/>
      <x:c r="D183" s="18"/>
      <x:c r="E183" s="19"/>
      <x:c r="F183" s="19"/>
      <x:c r="G183" s="19"/>
      <x:c r="H183" s="19"/>
      <x:c r="I183" s="20" t="n">
        <x:f>IF(OR(C183="",D183=""),0,MAX(0,(D183-C183)*24-E183))</x:f>
        <x:v>0</x:v>
      </x:c>
      <x:c r="J183" s="20" t="n">
        <x:f>MIN(I183,H183)</x:f>
        <x:v>0</x:v>
      </x:c>
      <x:c r="K183" s="20" t="n">
        <x:f>MAX(0,I183-H183)</x:f>
        <x:v>0</x:v>
      </x:c>
      <x:c r="L183" s="20" t="n">
        <x:f>IF(F183="Unpaid",G183,0)</x:f>
        <x:v>0</x:v>
      </x:c>
      <x:c r="M183" s="17" t="str">
        <x:f>IF(B183="","",IF(F183="Paid","مرخصی با حقوق",IF(F183="Unpaid","مرخصی بدون حقوق",IF(K183&gt;0,"اضافه‌کاری","عادی"))))</x:f>
      </x:c>
    </x:row>
    <x:row r="184">
      <x:c r="A184" s="14"/>
      <x:c r="B184" s="13"/>
      <x:c r="C184" s="18"/>
      <x:c r="D184" s="18"/>
      <x:c r="E184" s="19"/>
      <x:c r="F184" s="19"/>
      <x:c r="G184" s="19"/>
      <x:c r="H184" s="19"/>
      <x:c r="I184" s="20" t="n">
        <x:f>IF(OR(C184="",D184=""),0,MAX(0,(D184-C184)*24-E184))</x:f>
        <x:v>0</x:v>
      </x:c>
      <x:c r="J184" s="20" t="n">
        <x:f>MIN(I184,H184)</x:f>
        <x:v>0</x:v>
      </x:c>
      <x:c r="K184" s="20" t="n">
        <x:f>MAX(0,I184-H184)</x:f>
        <x:v>0</x:v>
      </x:c>
      <x:c r="L184" s="20" t="n">
        <x:f>IF(F184="Unpaid",G184,0)</x:f>
        <x:v>0</x:v>
      </x:c>
      <x:c r="M184" s="17" t="str">
        <x:f>IF(B184="","",IF(F184="Paid","مرخصی با حقوق",IF(F184="Unpaid","مرخصی بدون حقوق",IF(K184&gt;0,"اضافه‌کاری","عادی"))))</x:f>
      </x:c>
    </x:row>
    <x:row r="185">
      <x:c r="A185" s="14"/>
      <x:c r="B185" s="13"/>
      <x:c r="C185" s="18"/>
      <x:c r="D185" s="18"/>
      <x:c r="E185" s="19"/>
      <x:c r="F185" s="19"/>
      <x:c r="G185" s="19"/>
      <x:c r="H185" s="19"/>
      <x:c r="I185" s="20" t="n">
        <x:f>IF(OR(C185="",D185=""),0,MAX(0,(D185-C185)*24-E185))</x:f>
        <x:v>0</x:v>
      </x:c>
      <x:c r="J185" s="20" t="n">
        <x:f>MIN(I185,H185)</x:f>
        <x:v>0</x:v>
      </x:c>
      <x:c r="K185" s="20" t="n">
        <x:f>MAX(0,I185-H185)</x:f>
        <x:v>0</x:v>
      </x:c>
      <x:c r="L185" s="20" t="n">
        <x:f>IF(F185="Unpaid",G185,0)</x:f>
        <x:v>0</x:v>
      </x:c>
      <x:c r="M185" s="17" t="str">
        <x:f>IF(B185="","",IF(F185="Paid","مرخصی با حقوق",IF(F185="Unpaid","مرخصی بدون حقوق",IF(K185&gt;0,"اضافه‌کاری","عادی"))))</x:f>
      </x:c>
    </x:row>
    <x:row r="186">
      <x:c r="A186" s="14"/>
      <x:c r="B186" s="13"/>
      <x:c r="C186" s="18"/>
      <x:c r="D186" s="18"/>
      <x:c r="E186" s="19"/>
      <x:c r="F186" s="19"/>
      <x:c r="G186" s="19"/>
      <x:c r="H186" s="19"/>
      <x:c r="I186" s="20" t="n">
        <x:f>IF(OR(C186="",D186=""),0,MAX(0,(D186-C186)*24-E186))</x:f>
        <x:v>0</x:v>
      </x:c>
      <x:c r="J186" s="20" t="n">
        <x:f>MIN(I186,H186)</x:f>
        <x:v>0</x:v>
      </x:c>
      <x:c r="K186" s="20" t="n">
        <x:f>MAX(0,I186-H186)</x:f>
        <x:v>0</x:v>
      </x:c>
      <x:c r="L186" s="20" t="n">
        <x:f>IF(F186="Unpaid",G186,0)</x:f>
        <x:v>0</x:v>
      </x:c>
      <x:c r="M186" s="17" t="str">
        <x:f>IF(B186="","",IF(F186="Paid","مرخصی با حقوق",IF(F186="Unpaid","مرخصی بدون حقوق",IF(K186&gt;0,"اضافه‌کاری","عادی"))))</x:f>
      </x:c>
    </x:row>
    <x:row r="187">
      <x:c r="A187" s="14"/>
      <x:c r="B187" s="13"/>
      <x:c r="C187" s="18"/>
      <x:c r="D187" s="18"/>
      <x:c r="E187" s="19"/>
      <x:c r="F187" s="19"/>
      <x:c r="G187" s="19"/>
      <x:c r="H187" s="19"/>
      <x:c r="I187" s="20" t="n">
        <x:f>IF(OR(C187="",D187=""),0,MAX(0,(D187-C187)*24-E187))</x:f>
        <x:v>0</x:v>
      </x:c>
      <x:c r="J187" s="20" t="n">
        <x:f>MIN(I187,H187)</x:f>
        <x:v>0</x:v>
      </x:c>
      <x:c r="K187" s="20" t="n">
        <x:f>MAX(0,I187-H187)</x:f>
        <x:v>0</x:v>
      </x:c>
      <x:c r="L187" s="20" t="n">
        <x:f>IF(F187="Unpaid",G187,0)</x:f>
        <x:v>0</x:v>
      </x:c>
      <x:c r="M187" s="17" t="str">
        <x:f>IF(B187="","",IF(F187="Paid","مرخصی با حقوق",IF(F187="Unpaid","مرخصی بدون حقوق",IF(K187&gt;0,"اضافه‌کاری","عادی"))))</x:f>
      </x:c>
    </x:row>
    <x:row r="188">
      <x:c r="A188" s="14"/>
      <x:c r="B188" s="13"/>
      <x:c r="C188" s="18"/>
      <x:c r="D188" s="18"/>
      <x:c r="E188" s="19"/>
      <x:c r="F188" s="19"/>
      <x:c r="G188" s="19"/>
      <x:c r="H188" s="19"/>
      <x:c r="I188" s="20" t="n">
        <x:f>IF(OR(C188="",D188=""),0,MAX(0,(D188-C188)*24-E188))</x:f>
        <x:v>0</x:v>
      </x:c>
      <x:c r="J188" s="20" t="n">
        <x:f>MIN(I188,H188)</x:f>
        <x:v>0</x:v>
      </x:c>
      <x:c r="K188" s="20" t="n">
        <x:f>MAX(0,I188-H188)</x:f>
        <x:v>0</x:v>
      </x:c>
      <x:c r="L188" s="20" t="n">
        <x:f>IF(F188="Unpaid",G188,0)</x:f>
        <x:v>0</x:v>
      </x:c>
      <x:c r="M188" s="17" t="str">
        <x:f>IF(B188="","",IF(F188="Paid","مرخصی با حقوق",IF(F188="Unpaid","مرخصی بدون حقوق",IF(K188&gt;0,"اضافه‌کاری","عادی"))))</x:f>
      </x:c>
    </x:row>
    <x:row r="189">
      <x:c r="A189" s="14"/>
      <x:c r="B189" s="13"/>
      <x:c r="C189" s="18"/>
      <x:c r="D189" s="18"/>
      <x:c r="E189" s="19"/>
      <x:c r="F189" s="19"/>
      <x:c r="G189" s="19"/>
      <x:c r="H189" s="19"/>
      <x:c r="I189" s="20" t="n">
        <x:f>IF(OR(C189="",D189=""),0,MAX(0,(D189-C189)*24-E189))</x:f>
        <x:v>0</x:v>
      </x:c>
      <x:c r="J189" s="20" t="n">
        <x:f>MIN(I189,H189)</x:f>
        <x:v>0</x:v>
      </x:c>
      <x:c r="K189" s="20" t="n">
        <x:f>MAX(0,I189-H189)</x:f>
        <x:v>0</x:v>
      </x:c>
      <x:c r="L189" s="20" t="n">
        <x:f>IF(F189="Unpaid",G189,0)</x:f>
        <x:v>0</x:v>
      </x:c>
      <x:c r="M189" s="17" t="str">
        <x:f>IF(B189="","",IF(F189="Paid","مرخصی با حقوق",IF(F189="Unpaid","مرخصی بدون حقوق",IF(K189&gt;0,"اضافه‌کاری","عادی"))))</x:f>
      </x:c>
    </x:row>
    <x:row r="190">
      <x:c r="A190" s="14"/>
      <x:c r="B190" s="13"/>
      <x:c r="C190" s="18"/>
      <x:c r="D190" s="18"/>
      <x:c r="E190" s="19"/>
      <x:c r="F190" s="19"/>
      <x:c r="G190" s="19"/>
      <x:c r="H190" s="19"/>
      <x:c r="I190" s="20" t="n">
        <x:f>IF(OR(C190="",D190=""),0,MAX(0,(D190-C190)*24-E190))</x:f>
        <x:v>0</x:v>
      </x:c>
      <x:c r="J190" s="20" t="n">
        <x:f>MIN(I190,H190)</x:f>
        <x:v>0</x:v>
      </x:c>
      <x:c r="K190" s="20" t="n">
        <x:f>MAX(0,I190-H190)</x:f>
        <x:v>0</x:v>
      </x:c>
      <x:c r="L190" s="20" t="n">
        <x:f>IF(F190="Unpaid",G190,0)</x:f>
        <x:v>0</x:v>
      </x:c>
      <x:c r="M190" s="17" t="str">
        <x:f>IF(B190="","",IF(F190="Paid","مرخصی با حقوق",IF(F190="Unpaid","مرخصی بدون حقوق",IF(K190&gt;0,"اضافه‌کاری","عادی"))))</x:f>
      </x:c>
    </x:row>
    <x:row r="191">
      <x:c r="A191" s="14"/>
      <x:c r="B191" s="13"/>
      <x:c r="C191" s="18"/>
      <x:c r="D191" s="18"/>
      <x:c r="E191" s="19"/>
      <x:c r="F191" s="19"/>
      <x:c r="G191" s="19"/>
      <x:c r="H191" s="19"/>
      <x:c r="I191" s="20" t="n">
        <x:f>IF(OR(C191="",D191=""),0,MAX(0,(D191-C191)*24-E191))</x:f>
        <x:v>0</x:v>
      </x:c>
      <x:c r="J191" s="20" t="n">
        <x:f>MIN(I191,H191)</x:f>
        <x:v>0</x:v>
      </x:c>
      <x:c r="K191" s="20" t="n">
        <x:f>MAX(0,I191-H191)</x:f>
        <x:v>0</x:v>
      </x:c>
      <x:c r="L191" s="20" t="n">
        <x:f>IF(F191="Unpaid",G191,0)</x:f>
        <x:v>0</x:v>
      </x:c>
      <x:c r="M191" s="17" t="str">
        <x:f>IF(B191="","",IF(F191="Paid","مرخصی با حقوق",IF(F191="Unpaid","مرخصی بدون حقوق",IF(K191&gt;0,"اضافه‌کاری","عادی"))))</x:f>
      </x:c>
    </x:row>
    <x:row r="192">
      <x:c r="A192" s="14"/>
      <x:c r="B192" s="13"/>
      <x:c r="C192" s="18"/>
      <x:c r="D192" s="18"/>
      <x:c r="E192" s="19"/>
      <x:c r="F192" s="19"/>
      <x:c r="G192" s="19"/>
      <x:c r="H192" s="19"/>
      <x:c r="I192" s="20" t="n">
        <x:f>IF(OR(C192="",D192=""),0,MAX(0,(D192-C192)*24-E192))</x:f>
        <x:v>0</x:v>
      </x:c>
      <x:c r="J192" s="20" t="n">
        <x:f>MIN(I192,H192)</x:f>
        <x:v>0</x:v>
      </x:c>
      <x:c r="K192" s="20" t="n">
        <x:f>MAX(0,I192-H192)</x:f>
        <x:v>0</x:v>
      </x:c>
      <x:c r="L192" s="20" t="n">
        <x:f>IF(F192="Unpaid",G192,0)</x:f>
        <x:v>0</x:v>
      </x:c>
      <x:c r="M192" s="17" t="str">
        <x:f>IF(B192="","",IF(F192="Paid","مرخصی با حقوق",IF(F192="Unpaid","مرخصی بدون حقوق",IF(K192&gt;0,"اضافه‌کاری","عادی"))))</x:f>
      </x:c>
    </x:row>
    <x:row r="193">
      <x:c r="A193" s="14"/>
      <x:c r="B193" s="13"/>
      <x:c r="C193" s="18"/>
      <x:c r="D193" s="18"/>
      <x:c r="E193" s="19"/>
      <x:c r="F193" s="19"/>
      <x:c r="G193" s="19"/>
      <x:c r="H193" s="19"/>
      <x:c r="I193" s="20" t="n">
        <x:f>IF(OR(C193="",D193=""),0,MAX(0,(D193-C193)*24-E193))</x:f>
        <x:v>0</x:v>
      </x:c>
      <x:c r="J193" s="20" t="n">
        <x:f>MIN(I193,H193)</x:f>
        <x:v>0</x:v>
      </x:c>
      <x:c r="K193" s="20" t="n">
        <x:f>MAX(0,I193-H193)</x:f>
        <x:v>0</x:v>
      </x:c>
      <x:c r="L193" s="20" t="n">
        <x:f>IF(F193="Unpaid",G193,0)</x:f>
        <x:v>0</x:v>
      </x:c>
      <x:c r="M193" s="17" t="str">
        <x:f>IF(B193="","",IF(F193="Paid","مرخصی با حقوق",IF(F193="Unpaid","مرخصی بدون حقوق",IF(K193&gt;0,"اضافه‌کاری","عادی"))))</x:f>
      </x:c>
    </x:row>
    <x:row r="194">
      <x:c r="A194" s="14"/>
      <x:c r="B194" s="13"/>
      <x:c r="C194" s="18"/>
      <x:c r="D194" s="18"/>
      <x:c r="E194" s="19"/>
      <x:c r="F194" s="19"/>
      <x:c r="G194" s="19"/>
      <x:c r="H194" s="19"/>
      <x:c r="I194" s="20" t="n">
        <x:f>IF(OR(C194="",D194=""),0,MAX(0,(D194-C194)*24-E194))</x:f>
        <x:v>0</x:v>
      </x:c>
      <x:c r="J194" s="20" t="n">
        <x:f>MIN(I194,H194)</x:f>
        <x:v>0</x:v>
      </x:c>
      <x:c r="K194" s="20" t="n">
        <x:f>MAX(0,I194-H194)</x:f>
        <x:v>0</x:v>
      </x:c>
      <x:c r="L194" s="20" t="n">
        <x:f>IF(F194="Unpaid",G194,0)</x:f>
        <x:v>0</x:v>
      </x:c>
      <x:c r="M194" s="17" t="str">
        <x:f>IF(B194="","",IF(F194="Paid","مرخصی با حقوق",IF(F194="Unpaid","مرخصی بدون حقوق",IF(K194&gt;0,"اضافه‌کاری","عادی"))))</x:f>
      </x:c>
    </x:row>
    <x:row r="195">
      <x:c r="A195" s="14"/>
      <x:c r="B195" s="13"/>
      <x:c r="C195" s="18"/>
      <x:c r="D195" s="18"/>
      <x:c r="E195" s="19"/>
      <x:c r="F195" s="19"/>
      <x:c r="G195" s="19"/>
      <x:c r="H195" s="19"/>
      <x:c r="I195" s="20" t="n">
        <x:f>IF(OR(C195="",D195=""),0,MAX(0,(D195-C195)*24-E195))</x:f>
        <x:v>0</x:v>
      </x:c>
      <x:c r="J195" s="20" t="n">
        <x:f>MIN(I195,H195)</x:f>
        <x:v>0</x:v>
      </x:c>
      <x:c r="K195" s="20" t="n">
        <x:f>MAX(0,I195-H195)</x:f>
        <x:v>0</x:v>
      </x:c>
      <x:c r="L195" s="20" t="n">
        <x:f>IF(F195="Unpaid",G195,0)</x:f>
        <x:v>0</x:v>
      </x:c>
      <x:c r="M195" s="17" t="str">
        <x:f>IF(B195="","",IF(F195="Paid","مرخصی با حقوق",IF(F195="Unpaid","مرخصی بدون حقوق",IF(K195&gt;0,"اضافه‌کاری","عادی"))))</x:f>
      </x:c>
    </x:row>
    <x:row r="196">
      <x:c r="A196" s="14"/>
      <x:c r="B196" s="13"/>
      <x:c r="C196" s="18"/>
      <x:c r="D196" s="18"/>
      <x:c r="E196" s="19"/>
      <x:c r="F196" s="19"/>
      <x:c r="G196" s="19"/>
      <x:c r="H196" s="19"/>
      <x:c r="I196" s="20" t="n">
        <x:f>IF(OR(C196="",D196=""),0,MAX(0,(D196-C196)*24-E196))</x:f>
        <x:v>0</x:v>
      </x:c>
      <x:c r="J196" s="20" t="n">
        <x:f>MIN(I196,H196)</x:f>
        <x:v>0</x:v>
      </x:c>
      <x:c r="K196" s="20" t="n">
        <x:f>MAX(0,I196-H196)</x:f>
        <x:v>0</x:v>
      </x:c>
      <x:c r="L196" s="20" t="n">
        <x:f>IF(F196="Unpaid",G196,0)</x:f>
        <x:v>0</x:v>
      </x:c>
      <x:c r="M196" s="17" t="str">
        <x:f>IF(B196="","",IF(F196="Paid","مرخصی با حقوق",IF(F196="Unpaid","مرخصی بدون حقوق",IF(K196&gt;0,"اضافه‌کاری","عادی"))))</x:f>
      </x:c>
    </x:row>
    <x:row r="197">
      <x:c r="A197" s="14"/>
      <x:c r="B197" s="13"/>
      <x:c r="C197" s="18"/>
      <x:c r="D197" s="18"/>
      <x:c r="E197" s="19"/>
      <x:c r="F197" s="19"/>
      <x:c r="G197" s="19"/>
      <x:c r="H197" s="19"/>
      <x:c r="I197" s="20" t="n">
        <x:f>IF(OR(C197="",D197=""),0,MAX(0,(D197-C197)*24-E197))</x:f>
        <x:v>0</x:v>
      </x:c>
      <x:c r="J197" s="20" t="n">
        <x:f>MIN(I197,H197)</x:f>
        <x:v>0</x:v>
      </x:c>
      <x:c r="K197" s="20" t="n">
        <x:f>MAX(0,I197-H197)</x:f>
        <x:v>0</x:v>
      </x:c>
      <x:c r="L197" s="20" t="n">
        <x:f>IF(F197="Unpaid",G197,0)</x:f>
        <x:v>0</x:v>
      </x:c>
      <x:c r="M197" s="17" t="str">
        <x:f>IF(B197="","",IF(F197="Paid","مرخصی با حقوق",IF(F197="Unpaid","مرخصی بدون حقوق",IF(K197&gt;0,"اضافه‌کاری","عادی"))))</x:f>
      </x:c>
    </x:row>
    <x:row r="198">
      <x:c r="A198" s="14"/>
      <x:c r="B198" s="13"/>
      <x:c r="C198" s="18"/>
      <x:c r="D198" s="18"/>
      <x:c r="E198" s="19"/>
      <x:c r="F198" s="19"/>
      <x:c r="G198" s="19"/>
      <x:c r="H198" s="19"/>
      <x:c r="I198" s="20" t="n">
        <x:f>IF(OR(C198="",D198=""),0,MAX(0,(D198-C198)*24-E198))</x:f>
        <x:v>0</x:v>
      </x:c>
      <x:c r="J198" s="20" t="n">
        <x:f>MIN(I198,H198)</x:f>
        <x:v>0</x:v>
      </x:c>
      <x:c r="K198" s="20" t="n">
        <x:f>MAX(0,I198-H198)</x:f>
        <x:v>0</x:v>
      </x:c>
      <x:c r="L198" s="20" t="n">
        <x:f>IF(F198="Unpaid",G198,0)</x:f>
        <x:v>0</x:v>
      </x:c>
      <x:c r="M198" s="17" t="str">
        <x:f>IF(B198="","",IF(F198="Paid","مرخصی با حقوق",IF(F198="Unpaid","مرخصی بدون حقوق",IF(K198&gt;0,"اضافه‌کاری","عادی"))))</x:f>
      </x:c>
    </x:row>
    <x:row r="199">
      <x:c r="A199" s="14"/>
      <x:c r="B199" s="13"/>
      <x:c r="C199" s="18"/>
      <x:c r="D199" s="18"/>
      <x:c r="E199" s="19"/>
      <x:c r="F199" s="19"/>
      <x:c r="G199" s="19"/>
      <x:c r="H199" s="19"/>
      <x:c r="I199" s="20" t="n">
        <x:f>IF(OR(C199="",D199=""),0,MAX(0,(D199-C199)*24-E199))</x:f>
        <x:v>0</x:v>
      </x:c>
      <x:c r="J199" s="20" t="n">
        <x:f>MIN(I199,H199)</x:f>
        <x:v>0</x:v>
      </x:c>
      <x:c r="K199" s="20" t="n">
        <x:f>MAX(0,I199-H199)</x:f>
        <x:v>0</x:v>
      </x:c>
      <x:c r="L199" s="20" t="n">
        <x:f>IF(F199="Unpaid",G199,0)</x:f>
        <x:v>0</x:v>
      </x:c>
      <x:c r="M199" s="17" t="str">
        <x:f>IF(B199="","",IF(F199="Paid","مرخصی با حقوق",IF(F199="Unpaid","مرخصی بدون حقوق",IF(K199&gt;0,"اضافه‌کاری","عادی"))))</x:f>
      </x:c>
    </x:row>
    <x:row r="200">
      <x:c r="A200" s="14"/>
      <x:c r="B200" s="13"/>
      <x:c r="C200" s="18"/>
      <x:c r="D200" s="18"/>
      <x:c r="E200" s="19"/>
      <x:c r="F200" s="19"/>
      <x:c r="G200" s="19"/>
      <x:c r="H200" s="19"/>
      <x:c r="I200" s="20" t="n">
        <x:f>IF(OR(C200="",D200=""),0,MAX(0,(D200-C200)*24-E200))</x:f>
        <x:v>0</x:v>
      </x:c>
      <x:c r="J200" s="20" t="n">
        <x:f>MIN(I200,H200)</x:f>
        <x:v>0</x:v>
      </x:c>
      <x:c r="K200" s="20" t="n">
        <x:f>MAX(0,I200-H200)</x:f>
        <x:v>0</x:v>
      </x:c>
      <x:c r="L200" s="20" t="n">
        <x:f>IF(F200="Unpaid",G200,0)</x:f>
        <x:v>0</x:v>
      </x:c>
      <x:c r="M200" s="17" t="str">
        <x:f>IF(B200="","",IF(F200="Paid","مرخصی با حقوق",IF(F200="Unpaid","مرخصی بدون حقوق",IF(K200&gt;0,"اضافه‌کاری","عادی"))))</x:f>
      </x:c>
    </x:row>
    <x:row r="201">
      <x:c r="A201" s="14"/>
      <x:c r="B201" s="13"/>
      <x:c r="C201" s="18"/>
      <x:c r="D201" s="18"/>
      <x:c r="E201" s="19"/>
      <x:c r="F201" s="19"/>
      <x:c r="G201" s="19"/>
      <x:c r="H201" s="19"/>
      <x:c r="I201" s="20" t="n">
        <x:f>IF(OR(C201="",D201=""),0,MAX(0,(D201-C201)*24-E201))</x:f>
        <x:v>0</x:v>
      </x:c>
      <x:c r="J201" s="20" t="n">
        <x:f>MIN(I201,H201)</x:f>
        <x:v>0</x:v>
      </x:c>
      <x:c r="K201" s="20" t="n">
        <x:f>MAX(0,I201-H201)</x:f>
        <x:v>0</x:v>
      </x:c>
      <x:c r="L201" s="20" t="n">
        <x:f>IF(F201="Unpaid",G201,0)</x:f>
        <x:v>0</x:v>
      </x:c>
      <x:c r="M201" s="17" t="str">
        <x:f>IF(B201="","",IF(F201="Paid","مرخصی با حقوق",IF(F201="Unpaid","مرخصی بدون حقوق",IF(K201&gt;0,"اضافه‌کاری","عادی"))))</x:f>
      </x:c>
    </x:row>
    <x:row r="202">
      <x:c r="A202" s="14"/>
      <x:c r="B202" s="13"/>
      <x:c r="C202" s="18"/>
      <x:c r="D202" s="18"/>
      <x:c r="E202" s="19"/>
      <x:c r="F202" s="19"/>
      <x:c r="G202" s="19"/>
      <x:c r="H202" s="19"/>
      <x:c r="I202" s="20" t="n">
        <x:f>IF(OR(C202="",D202=""),0,MAX(0,(D202-C202)*24-E202))</x:f>
        <x:v>0</x:v>
      </x:c>
      <x:c r="J202" s="20" t="n">
        <x:f>MIN(I202,H202)</x:f>
        <x:v>0</x:v>
      </x:c>
      <x:c r="K202" s="20" t="n">
        <x:f>MAX(0,I202-H202)</x:f>
        <x:v>0</x:v>
      </x:c>
      <x:c r="L202" s="20" t="n">
        <x:f>IF(F202="Unpaid",G202,0)</x:f>
        <x:v>0</x:v>
      </x:c>
      <x:c r="M202" s="17" t="str">
        <x:f>IF(B202="","",IF(F202="Paid","مرخصی با حقوق",IF(F202="Unpaid","مرخصی بدون حقوق",IF(K202&gt;0,"اضافه‌کاری","عادی"))))</x:f>
      </x:c>
    </x:row>
    <x:row r="203">
      <x:c r="A203" s="14"/>
      <x:c r="B203" s="13"/>
      <x:c r="C203" s="18"/>
      <x:c r="D203" s="18"/>
      <x:c r="E203" s="19"/>
      <x:c r="F203" s="19"/>
      <x:c r="G203" s="19"/>
      <x:c r="H203" s="19"/>
      <x:c r="I203" s="20" t="n">
        <x:f>IF(OR(C203="",D203=""),0,MAX(0,(D203-C203)*24-E203))</x:f>
        <x:v>0</x:v>
      </x:c>
      <x:c r="J203" s="20" t="n">
        <x:f>MIN(I203,H203)</x:f>
        <x:v>0</x:v>
      </x:c>
      <x:c r="K203" s="20" t="n">
        <x:f>MAX(0,I203-H203)</x:f>
        <x:v>0</x:v>
      </x:c>
      <x:c r="L203" s="20" t="n">
        <x:f>IF(F203="Unpaid",G203,0)</x:f>
        <x:v>0</x:v>
      </x:c>
      <x:c r="M203" s="17" t="str">
        <x:f>IF(B203="","",IF(F203="Paid","مرخصی با حقوق",IF(F203="Unpaid","مرخصی بدون حقوق",IF(K203&gt;0,"اضافه‌کاری","عادی"))))</x:f>
      </x:c>
    </x:row>
    <x:row r="204">
      <x:c r="A204" s="14"/>
      <x:c r="B204" s="13"/>
      <x:c r="C204" s="18"/>
      <x:c r="D204" s="18"/>
      <x:c r="E204" s="19"/>
      <x:c r="F204" s="19"/>
      <x:c r="G204" s="19"/>
      <x:c r="H204" s="19"/>
      <x:c r="I204" s="20" t="n">
        <x:f>IF(OR(C204="",D204=""),0,MAX(0,(D204-C204)*24-E204))</x:f>
        <x:v>0</x:v>
      </x:c>
      <x:c r="J204" s="20" t="n">
        <x:f>MIN(I204,H204)</x:f>
        <x:v>0</x:v>
      </x:c>
      <x:c r="K204" s="20" t="n">
        <x:f>MAX(0,I204-H204)</x:f>
        <x:v>0</x:v>
      </x:c>
      <x:c r="L204" s="20" t="n">
        <x:f>IF(F204="Unpaid",G204,0)</x:f>
        <x:v>0</x:v>
      </x:c>
      <x:c r="M204" s="17" t="str">
        <x:f>IF(B204="","",IF(F204="Paid","مرخصی با حقوق",IF(F204="Unpaid","مرخصی بدون حقوق",IF(K204&gt;0,"اضافه‌کاری","عادی"))))</x:f>
      </x:c>
    </x:row>
    <x:row r="205">
      <x:c r="A205" s="14"/>
      <x:c r="B205" s="13"/>
      <x:c r="C205" s="18"/>
      <x:c r="D205" s="18"/>
      <x:c r="E205" s="19"/>
      <x:c r="F205" s="19"/>
      <x:c r="G205" s="19"/>
      <x:c r="H205" s="19"/>
      <x:c r="I205" s="20" t="n">
        <x:f>IF(OR(C205="",D205=""),0,MAX(0,(D205-C205)*24-E205))</x:f>
        <x:v>0</x:v>
      </x:c>
      <x:c r="J205" s="20" t="n">
        <x:f>MIN(I205,H205)</x:f>
        <x:v>0</x:v>
      </x:c>
      <x:c r="K205" s="20" t="n">
        <x:f>MAX(0,I205-H205)</x:f>
        <x:v>0</x:v>
      </x:c>
      <x:c r="L205" s="20" t="n">
        <x:f>IF(F205="Unpaid",G205,0)</x:f>
        <x:v>0</x:v>
      </x:c>
      <x:c r="M205" s="17" t="str">
        <x:f>IF(B205="","",IF(F205="Paid","مرخصی با حقوق",IF(F205="Unpaid","مرخصی بدون حقوق",IF(K205&gt;0,"اضافه‌کاری","عادی"))))</x:f>
      </x:c>
    </x:row>
  </x:sheetData>
  <x:mergeCells>
    <x:mergeCell ref="A1:M2"/>
  </x:mergeCells>
  <x:dataValidations count="1">
    <x:dataValidation type="list" sqref="F5:F205">
      <x:formula1>",Paid,Unpaid"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6" customHeight="1">
      <x:c r="A1" s="4" t="str">
        <x:v>دوره‌های حقوق</x:v>
      </x:c>
      <x:c r="B1" s="4"/>
      <x:c r="C1" s="4"/>
      <x:c r="D1" s="4"/>
      <x:c r="E1" s="4"/>
      <x:c r="F1" s="4"/>
    </x:row>
    <x:row r="2" ht="26" customHeight="1">
      <x:c r="A2" s="4"/>
      <x:c r="B2" s="4"/>
      <x:c r="C2" s="4"/>
      <x:c r="D2" s="4"/>
      <x:c r="E2" s="4"/>
      <x:c r="F2" s="4"/>
    </x:row>
    <x:row r="4">
      <x:c r="A4" s="8" t="str">
        <x:v>شناسه دوره</x:v>
      </x:c>
      <x:c r="B4" s="8" t="str">
        <x:v>شروع</x:v>
      </x:c>
      <x:c r="C4" s="8" t="str">
        <x:v>پایان</x:v>
      </x:c>
      <x:c r="D4" s="8" t="str">
        <x:v>تاریخ پرداخت</x:v>
      </x:c>
      <x:c r="E4" s="8" t="str">
        <x:v>وضعیت</x:v>
      </x:c>
      <x:c r="F4" s="8" t="str">
        <x:v>یادداشت</x:v>
      </x:c>
    </x:row>
    <x:row r="5">
      <x:c r="A5" s="13" t="str">
        <x:v>2026-09</x:v>
      </x:c>
      <x:c r="B5" s="14" t="n">
        <x:v>46266</x:v>
      </x:c>
      <x:c r="C5" s="14" t="n">
        <x:v>46295</x:v>
      </x:c>
      <x:c r="D5" s="14" t="n">
        <x:v>46300</x:v>
      </x:c>
      <x:c r="E5" s="13" t="str">
        <x:v>draft</x:v>
      </x:c>
      <x:c r="F5" s="13" t="str">
        <x:v>نمونه</x:v>
      </x:c>
    </x:row>
    <x:row r="6">
      <x:c r="A6" s="13"/>
      <x:c r="B6" s="14"/>
      <x:c r="C6" s="14"/>
      <x:c r="D6" s="14"/>
      <x:c r="E6" s="13"/>
      <x:c r="F6" s="13"/>
    </x:row>
    <x:row r="7">
      <x:c r="A7" s="13"/>
      <x:c r="B7" s="14"/>
      <x:c r="C7" s="14"/>
      <x:c r="D7" s="14"/>
      <x:c r="E7" s="13"/>
      <x:c r="F7" s="13"/>
    </x:row>
    <x:row r="8">
      <x:c r="A8" s="13"/>
      <x:c r="B8" s="14"/>
      <x:c r="C8" s="14"/>
      <x:c r="D8" s="14"/>
      <x:c r="E8" s="13"/>
      <x:c r="F8" s="13"/>
    </x:row>
    <x:row r="9">
      <x:c r="A9" s="13"/>
      <x:c r="B9" s="14"/>
      <x:c r="C9" s="14"/>
      <x:c r="D9" s="14"/>
      <x:c r="E9" s="13"/>
      <x:c r="F9" s="13"/>
    </x:row>
    <x:row r="10">
      <x:c r="A10" s="13"/>
      <x:c r="B10" s="14"/>
      <x:c r="C10" s="14"/>
      <x:c r="D10" s="14"/>
      <x:c r="E10" s="13"/>
      <x:c r="F10" s="13"/>
    </x:row>
    <x:row r="11">
      <x:c r="A11" s="13"/>
      <x:c r="B11" s="14"/>
      <x:c r="C11" s="14"/>
      <x:c r="D11" s="14"/>
      <x:c r="E11" s="13"/>
      <x:c r="F11" s="13"/>
    </x:row>
    <x:row r="12">
      <x:c r="A12" s="13"/>
      <x:c r="B12" s="14"/>
      <x:c r="C12" s="14"/>
      <x:c r="D12" s="14"/>
      <x:c r="E12" s="13"/>
      <x:c r="F12" s="13"/>
    </x:row>
    <x:row r="13">
      <x:c r="A13" s="13"/>
      <x:c r="B13" s="14"/>
      <x:c r="C13" s="14"/>
      <x:c r="D13" s="14"/>
      <x:c r="E13" s="13"/>
      <x:c r="F13" s="13"/>
    </x:row>
    <x:row r="14">
      <x:c r="A14" s="13"/>
      <x:c r="B14" s="14"/>
      <x:c r="C14" s="14"/>
      <x:c r="D14" s="14"/>
      <x:c r="E14" s="13"/>
      <x:c r="F14" s="13"/>
    </x:row>
    <x:row r="15">
      <x:c r="A15" s="13"/>
      <x:c r="B15" s="14"/>
      <x:c r="C15" s="14"/>
      <x:c r="D15" s="14"/>
      <x:c r="E15" s="13"/>
      <x:c r="F15" s="13"/>
    </x:row>
    <x:row r="16">
      <x:c r="A16" s="13"/>
      <x:c r="B16" s="14"/>
      <x:c r="C16" s="14"/>
      <x:c r="D16" s="14"/>
      <x:c r="E16" s="13"/>
      <x:c r="F16" s="13"/>
    </x:row>
    <x:row r="17">
      <x:c r="A17" s="13"/>
      <x:c r="B17" s="14"/>
      <x:c r="C17" s="14"/>
      <x:c r="D17" s="14"/>
      <x:c r="E17" s="13"/>
      <x:c r="F17" s="13"/>
    </x:row>
    <x:row r="18">
      <x:c r="A18" s="13"/>
      <x:c r="B18" s="14"/>
      <x:c r="C18" s="14"/>
      <x:c r="D18" s="14"/>
      <x:c r="E18" s="13"/>
      <x:c r="F18" s="13"/>
    </x:row>
    <x:row r="19">
      <x:c r="A19" s="13"/>
      <x:c r="B19" s="14"/>
      <x:c r="C19" s="14"/>
      <x:c r="D19" s="14"/>
      <x:c r="E19" s="13"/>
      <x:c r="F19" s="13"/>
    </x:row>
    <x:row r="20">
      <x:c r="A20" s="13"/>
      <x:c r="B20" s="14"/>
      <x:c r="C20" s="14"/>
      <x:c r="D20" s="14"/>
      <x:c r="E20" s="13"/>
      <x:c r="F20" s="13"/>
    </x:row>
    <x:row r="21">
      <x:c r="A21" s="13"/>
      <x:c r="B21" s="14"/>
      <x:c r="C21" s="14"/>
      <x:c r="D21" s="14"/>
      <x:c r="E21" s="13"/>
      <x:c r="F21" s="13"/>
    </x:row>
    <x:row r="22">
      <x:c r="A22" s="13"/>
      <x:c r="B22" s="14"/>
      <x:c r="C22" s="14"/>
      <x:c r="D22" s="14"/>
      <x:c r="E22" s="13"/>
      <x:c r="F22" s="13"/>
    </x:row>
    <x:row r="23">
      <x:c r="A23" s="13"/>
      <x:c r="B23" s="14"/>
      <x:c r="C23" s="14"/>
      <x:c r="D23" s="14"/>
      <x:c r="E23" s="13"/>
      <x:c r="F23" s="13"/>
    </x:row>
    <x:row r="24">
      <x:c r="A24" s="13"/>
      <x:c r="B24" s="14"/>
      <x:c r="C24" s="14"/>
      <x:c r="D24" s="14"/>
      <x:c r="E24" s="13"/>
      <x:c r="F24" s="13"/>
    </x:row>
    <x:row r="25">
      <x:c r="A25" s="13"/>
      <x:c r="B25" s="14"/>
      <x:c r="C25" s="14"/>
      <x:c r="D25" s="14"/>
      <x:c r="E25" s="13"/>
      <x:c r="F25" s="13"/>
    </x:row>
    <x:row r="26">
      <x:c r="A26" s="13"/>
      <x:c r="B26" s="14"/>
      <x:c r="C26" s="14"/>
      <x:c r="D26" s="14"/>
      <x:c r="E26" s="13"/>
      <x:c r="F26" s="13"/>
    </x:row>
    <x:row r="27">
      <x:c r="A27" s="13"/>
      <x:c r="B27" s="14"/>
      <x:c r="C27" s="14"/>
      <x:c r="D27" s="14"/>
      <x:c r="E27" s="13"/>
      <x:c r="F27" s="13"/>
    </x:row>
    <x:row r="28">
      <x:c r="A28" s="13"/>
      <x:c r="B28" s="14"/>
      <x:c r="C28" s="14"/>
      <x:c r="D28" s="14"/>
      <x:c r="E28" s="13"/>
      <x:c r="F28" s="13"/>
    </x:row>
    <x:row r="29">
      <x:c r="A29" s="13"/>
      <x:c r="B29" s="14"/>
      <x:c r="C29" s="14"/>
      <x:c r="D29" s="14"/>
      <x:c r="E29" s="13"/>
      <x:c r="F29" s="13"/>
    </x:row>
    <x:row r="30">
      <x:c r="A30" s="13"/>
      <x:c r="B30" s="14"/>
      <x:c r="C30" s="14"/>
      <x:c r="D30" s="14"/>
      <x:c r="E30" s="13"/>
      <x:c r="F30" s="13"/>
    </x:row>
    <x:row r="31">
      <x:c r="A31" s="13"/>
      <x:c r="B31" s="14"/>
      <x:c r="C31" s="14"/>
      <x:c r="D31" s="14"/>
      <x:c r="E31" s="13"/>
      <x:c r="F31" s="13"/>
    </x:row>
    <x:row r="32">
      <x:c r="A32" s="13"/>
      <x:c r="B32" s="14"/>
      <x:c r="C32" s="14"/>
      <x:c r="D32" s="14"/>
      <x:c r="E32" s="13"/>
      <x:c r="F32" s="13"/>
    </x:row>
    <x:row r="33">
      <x:c r="A33" s="13"/>
      <x:c r="B33" s="14"/>
      <x:c r="C33" s="14"/>
      <x:c r="D33" s="14"/>
      <x:c r="E33" s="13"/>
      <x:c r="F33" s="13"/>
    </x:row>
    <x:row r="34">
      <x:c r="A34" s="13"/>
      <x:c r="B34" s="14"/>
      <x:c r="C34" s="14"/>
      <x:c r="D34" s="14"/>
      <x:c r="E34" s="13"/>
      <x:c r="F34" s="13"/>
    </x:row>
    <x:row r="35">
      <x:c r="A35" s="13"/>
      <x:c r="B35" s="14"/>
      <x:c r="C35" s="14"/>
      <x:c r="D35" s="14"/>
      <x:c r="E35" s="13"/>
      <x:c r="F35" s="13"/>
    </x:row>
    <x:row r="36">
      <x:c r="A36" s="13"/>
      <x:c r="B36" s="14"/>
      <x:c r="C36" s="14"/>
      <x:c r="D36" s="14"/>
      <x:c r="E36" s="13"/>
      <x:c r="F36" s="13"/>
    </x:row>
    <x:row r="37">
      <x:c r="A37" s="13"/>
      <x:c r="B37" s="14"/>
      <x:c r="C37" s="14"/>
      <x:c r="D37" s="14"/>
      <x:c r="E37" s="13"/>
      <x:c r="F37" s="13"/>
    </x:row>
    <x:row r="38">
      <x:c r="A38" s="13"/>
      <x:c r="B38" s="14"/>
      <x:c r="C38" s="14"/>
      <x:c r="D38" s="14"/>
      <x:c r="E38" s="13"/>
      <x:c r="F38" s="13"/>
    </x:row>
    <x:row r="39">
      <x:c r="A39" s="13"/>
      <x:c r="B39" s="14"/>
      <x:c r="C39" s="14"/>
      <x:c r="D39" s="14"/>
      <x:c r="E39" s="13"/>
      <x:c r="F39" s="13"/>
    </x:row>
    <x:row r="40">
      <x:c r="A40" s="13"/>
      <x:c r="B40" s="14"/>
      <x:c r="C40" s="14"/>
      <x:c r="D40" s="14"/>
      <x:c r="E40" s="13"/>
      <x:c r="F40" s="13"/>
    </x:row>
    <x:row r="41">
      <x:c r="A41" s="13"/>
      <x:c r="B41" s="14"/>
      <x:c r="C41" s="14"/>
      <x:c r="D41" s="14"/>
      <x:c r="E41" s="13"/>
      <x:c r="F41" s="13"/>
    </x:row>
    <x:row r="42">
      <x:c r="A42" s="13"/>
      <x:c r="B42" s="14"/>
      <x:c r="C42" s="14"/>
      <x:c r="D42" s="14"/>
      <x:c r="E42" s="13"/>
      <x:c r="F42" s="13"/>
    </x:row>
    <x:row r="43">
      <x:c r="A43" s="13"/>
      <x:c r="B43" s="14"/>
      <x:c r="C43" s="14"/>
      <x:c r="D43" s="14"/>
      <x:c r="E43" s="13"/>
      <x:c r="F43" s="13"/>
    </x:row>
    <x:row r="44">
      <x:c r="A44" s="13"/>
      <x:c r="B44" s="14"/>
      <x:c r="C44" s="14"/>
      <x:c r="D44" s="14"/>
      <x:c r="E44" s="13"/>
      <x:c r="F44" s="13"/>
    </x:row>
    <x:row r="45">
      <x:c r="A45" s="13"/>
      <x:c r="B45" s="14"/>
      <x:c r="C45" s="14"/>
      <x:c r="D45" s="14"/>
      <x:c r="E45" s="13"/>
      <x:c r="F45" s="13"/>
    </x:row>
    <x:row r="46">
      <x:c r="A46" s="13"/>
      <x:c r="B46" s="14"/>
      <x:c r="C46" s="14"/>
      <x:c r="D46" s="14"/>
      <x:c r="E46" s="13"/>
      <x:c r="F46" s="13"/>
    </x:row>
    <x:row r="47">
      <x:c r="A47" s="13"/>
      <x:c r="B47" s="14"/>
      <x:c r="C47" s="14"/>
      <x:c r="D47" s="14"/>
      <x:c r="E47" s="13"/>
      <x:c r="F47" s="13"/>
    </x:row>
    <x:row r="48">
      <x:c r="A48" s="13"/>
      <x:c r="B48" s="14"/>
      <x:c r="C48" s="14"/>
      <x:c r="D48" s="14"/>
      <x:c r="E48" s="13"/>
      <x:c r="F48" s="13"/>
    </x:row>
    <x:row r="49">
      <x:c r="A49" s="13"/>
      <x:c r="B49" s="14"/>
      <x:c r="C49" s="14"/>
      <x:c r="D49" s="14"/>
      <x:c r="E49" s="13"/>
      <x:c r="F49" s="13"/>
    </x:row>
    <x:row r="50">
      <x:c r="A50" s="13"/>
      <x:c r="B50" s="14"/>
      <x:c r="C50" s="14"/>
      <x:c r="D50" s="14"/>
      <x:c r="E50" s="13"/>
      <x:c r="F50" s="13"/>
    </x:row>
    <x:row r="51">
      <x:c r="A51" s="13"/>
      <x:c r="B51" s="14"/>
      <x:c r="C51" s="14"/>
      <x:c r="D51" s="14"/>
      <x:c r="E51" s="13"/>
      <x:c r="F51" s="13"/>
    </x:row>
    <x:row r="52">
      <x:c r="A52" s="13"/>
      <x:c r="B52" s="14"/>
      <x:c r="C52" s="14"/>
      <x:c r="D52" s="14"/>
      <x:c r="E52" s="13"/>
      <x:c r="F52" s="13"/>
    </x:row>
    <x:row r="53">
      <x:c r="A53" s="13"/>
      <x:c r="B53" s="14"/>
      <x:c r="C53" s="14"/>
      <x:c r="D53" s="14"/>
      <x:c r="E53" s="13"/>
      <x:c r="F53" s="13"/>
    </x:row>
    <x:row r="54">
      <x:c r="A54" s="13"/>
      <x:c r="B54" s="14"/>
      <x:c r="C54" s="14"/>
      <x:c r="D54" s="14"/>
      <x:c r="E54" s="13"/>
      <x:c r="F54" s="13"/>
    </x:row>
    <x:row r="55">
      <x:c r="A55" s="13"/>
      <x:c r="B55" s="14"/>
      <x:c r="C55" s="14"/>
      <x:c r="D55" s="14"/>
      <x:c r="E55" s="13"/>
      <x:c r="F55" s="13"/>
    </x:row>
  </x:sheetData>
  <x:mergeCells>
    <x:mergeCell ref="A1:F2"/>
  </x:mergeCells>
  <x:dataValidations count="1">
    <x:dataValidation type="list" sqref="E5:E55">
      <x:formula1>"draft,processing,locked"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26" customHeight="1">
      <x:c r="A1" s="4" t="str">
        <x:v>محاسبه کامل حقوق | تمام ستون‌های آبی فرمول Excel هستند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</x:row>
    <x:row r="4">
      <x:c r="A4" s="8" t="str">
        <x:v>کد پرسنلی</x:v>
      </x:c>
      <x:c r="B4" s="8" t="str">
        <x:v>نام</x:v>
      </x:c>
      <x:c r="C4" s="8" t="str">
        <x:v>نرخ ساعتی</x:v>
      </x:c>
      <x:c r="D4" s="8" t="str">
        <x:v>ساعت عادی</x:v>
      </x:c>
      <x:c r="E4" s="8" t="str">
        <x:v>اضافه‌کاری</x:v>
      </x:c>
      <x:c r="F4" s="8" t="str">
        <x:v>مرخصی با حقوق</x:v>
      </x:c>
      <x:c r="G4" s="8" t="str">
        <x:v>مرخصی بی‌حقوق</x:v>
      </x:c>
      <x:c r="H4" s="8" t="str">
        <x:v>حقوق عادی</x:v>
      </x:c>
      <x:c r="I4" s="8" t="str">
        <x:v>حق اضافه‌کار</x:v>
      </x:c>
      <x:c r="J4" s="8" t="str">
        <x:v>حقوق مرخصی</x:v>
      </x:c>
      <x:c r="K4" s="8" t="str">
        <x:v>vacation pay</x:v>
      </x:c>
      <x:c r="L4" s="8" t="str">
        <x:v>حقوق ناخالص</x:v>
      </x:c>
      <x:c r="M4" s="8" t="str">
        <x:v>CPP</x:v>
      </x:c>
      <x:c r="N4" s="8" t="str">
        <x:v>CPP2</x:v>
      </x:c>
      <x:c r="O4" s="8" t="str">
        <x:v>EI</x:v>
      </x:c>
      <x:c r="P4" s="8" t="str">
        <x:v>مالیات فدرال</x:v>
      </x:c>
      <x:c r="Q4" s="8" t="str">
        <x:v>مالیات Ontario</x:v>
      </x:c>
      <x:c r="R4" s="8" t="str">
        <x:v>OHP</x:v>
      </x:c>
      <x:c r="S4" s="8" t="str">
        <x:v>کل کسورات</x:v>
      </x:c>
      <x:c r="T4" s="8" t="str">
        <x:v>خالص پرداختی</x:v>
      </x:c>
      <x:c r="U4" s="8" t="str">
        <x:v>شروع دوره</x:v>
      </x:c>
      <x:c r="V4" s="8" t="str">
        <x:v>پایان دوره</x:v>
      </x:c>
      <x:c r="W4" s="8" t="str">
        <x:v>کنترل</x:v>
      </x:c>
    </x:row>
    <x:row r="5">
      <x:c r="A5" s="13" t="str">
        <x:v>EMP-001</x:v>
      </x:c>
      <x:c r="B5" s="17" t="str">
        <x:f>IFERROR(VLOOKUP(A5,'کارمندان'!$A$5:$H$205,2,FALSE),"")</x:f>
        <x:v>نمونه کارمند</x:v>
      </x:c>
      <x:c r="C5" s="21" t="n">
        <x:f>IFERROR(VLOOKUP(A5,'کارمندان'!$A$5:$H$205,5,FALSE),0)</x:f>
        <x:v>25</x:v>
      </x:c>
      <x:c r="D5" s="20" t="n">
        <x:f>SUMIFS('حضور و غیاب'!$J$5:$J$205,'حضور و غیاب'!$B$5:$B$205,$A5,'حضور و غیاب'!$A$5:$A$205,"&gt;="&amp;'تنظیمات'!$B$5,'حضور و غیاب'!$A$5:$A$205,"&lt;="&amp;'تنظیمات'!$B$6)</x:f>
        <x:v>8</x:v>
      </x:c>
      <x:c r="E5" s="20" t="n">
        <x:f>SUMIFS('حضور و غیاب'!$K$5:$K$205,'حضور و غیاب'!$B$5:$B$205,$A5,'حضور و غیاب'!$A$5:$A$205,"&gt;="&amp;'تنظیمات'!$B$5,'حضور و غیاب'!$A$5:$A$205,"&lt;="&amp;'تنظیمات'!$B$6)</x:f>
        <x:v>1.7763568394002505e-15</x:v>
      </x:c>
      <x:c r="F5" s="20" t="n">
        <x:f>SUMIFS('حضور و غیاب'!$G$5:$G$205,'حضور و غیاب'!$B$5:$B$205,$A5,'حضور و غیاب'!$F$5:$F$205,"Paid",'حضور و غیاب'!$A$5:$A$205,"&gt;="&amp;'تنظیمات'!$B$5,'حضور و غیاب'!$A$5:$A$205,"&lt;="&amp;'تنظیمات'!$B$6)</x:f>
        <x:v>0</x:v>
      </x:c>
      <x:c r="G5" s="20" t="n">
        <x:f>SUMIFS('حضور و غیاب'!$L$5:$L$205,'حضور و غیاب'!$B$5:$B$205,$A5,'حضور و غیاب'!$A$5:$A$205,"&gt;="&amp;'تنظیمات'!$B$5,'حضور و غیاب'!$A$5:$A$205,"&lt;="&amp;'تنظیمات'!$B$6)</x:f>
        <x:v>0</x:v>
      </x:c>
      <x:c r="H5" s="21" t="n">
        <x:f>ROUND(C5*D5,2)</x:f>
        <x:v>200</x:v>
      </x:c>
      <x:c r="I5" s="21" t="n">
        <x:f>ROUND(C5*E5*'تنظیمات'!$B$7,2)</x:f>
        <x:v>0</x:v>
      </x:c>
      <x:c r="J5" s="21" t="n">
        <x:f>ROUND(C5*F5,2)</x:f>
        <x:v>0</x:v>
      </x:c>
      <x:c r="K5" s="21" t="n">
        <x:f>ROUND((H5+I5+J5)*'تنظیمات'!$B$8,2)</x:f>
        <x:v>8</x:v>
      </x:c>
      <x:c r="L5" s="21" t="n">
        <x:f>SUM(H5:K5)</x:f>
        <x:v>208</x:v>
      </x:c>
      <x:c r="M5" s="21" t="n">
        <x:f>ROUND(MAX(0,L5-'تنظیمات'!$B$9)*'تنظیمات'!$B$10,2)</x:f>
        <x:v>0</x:v>
      </x:c>
      <x:c r="N5" s="21" t="n">
        <x:f>ROUND(MAX(0,L5*12-'تنظیمات'!$B$11)/12*'تنظیمات'!$B$12,2)</x:f>
        <x:v>0</x:v>
      </x:c>
      <x:c r="O5" s="21" t="n">
        <x:f>ROUND(L5*'تنظیمات'!$B$13,2)</x:f>
        <x:v>3.39</x:v>
      </x:c>
      <x:c r="P5" s="21" t="n">
        <x:f>ROUND((MIN(L5*12,'تنظیمات'!$B$17)*'تنظیمات'!$B$18+MAX(0,MIN(L5*12,'تنظیمات'!$B$19)-'تنظیمات'!$B$17)*'تنظیمات'!$B$20)/12,2)</x:f>
        <x:v>29.12</x:v>
      </x:c>
      <x:c r="Q5" s="21" t="n">
        <x:f>ROUND(MIN(L5*12,'تنظیمات'!$B$21)*'تنظیمات'!$B$22/12,2)</x:f>
        <x:v>10.5</x:v>
      </x:c>
      <x:c r="R5" s="21" t="n">
        <x:f>ROUND(MIN('تنظیمات'!$B$16,MAX(0,L5*12-'تنظیمات'!$B$14)*'تنظیمات'!$B$15)/12,2)</x:f>
        <x:v>0</x:v>
      </x:c>
      <x:c r="S5" s="21" t="n">
        <x:f>SUM(M5:R5)</x:f>
        <x:v>43.01</x:v>
      </x:c>
      <x:c r="T5" s="21" t="n">
        <x:f>L5-S5</x:f>
        <x:v>164.99</x:v>
      </x:c>
      <x:c r="U5" s="22" t="n">
        <x:f>'تنظیمات'!$B$5</x:f>
        <x:v>46266</x:v>
      </x:c>
      <x:c r="V5" s="22" t="n">
        <x:f>'تنظیمات'!$B$6</x:f>
        <x:v>46295</x:v>
      </x:c>
      <x:c r="W5" s="17" t="str">
        <x:f>IF(AND(A5&lt;&gt;"",T5&gt;=0),"OK","بررسی شود")</x:f>
        <x:v>OK</x:v>
      </x:c>
    </x:row>
    <x:row r="6">
      <x:c r="A6" s="13"/>
      <x:c r="B6" s="17" t="str">
        <x:f>IFERROR(VLOOKUP(A6,'کارمندان'!$A$5:$H$205,2,FALSE),"")</x:f>
      </x:c>
      <x:c r="C6" s="21" t="str">
        <x:f>IFERROR(VLOOKUP(A6,'کارمندان'!$A$5:$H$205,5,FALSE),0)</x:f>
      </x:c>
      <x:c r="D6" s="20" t="n">
        <x:f>SUMIFS('حضور و غیاب'!$J$5:$J$205,'حضور و غیاب'!$B$5:$B$205,$A6,'حضور و غیاب'!$A$5:$A$205,"&gt;="&amp;'تنظیمات'!$B$5,'حضور و غیاب'!$A$5:$A$205,"&lt;="&amp;'تنظیمات'!$B$6)</x:f>
        <x:v>0</x:v>
      </x:c>
      <x:c r="E6" s="20" t="n">
        <x:f>SUMIFS('حضور و غیاب'!$K$5:$K$205,'حضور و غیاب'!$B$5:$B$205,$A6,'حضور و غیاب'!$A$5:$A$205,"&gt;="&amp;'تنظیمات'!$B$5,'حضور و غیاب'!$A$5:$A$205,"&lt;="&amp;'تنظیمات'!$B$6)</x:f>
        <x:v>0</x:v>
      </x:c>
      <x:c r="F6" s="20" t="n">
        <x:f>SUMIFS('حضور و غیاب'!$G$5:$G$205,'حضور و غیاب'!$B$5:$B$205,$A6,'حضور و غیاب'!$F$5:$F$205,"Paid",'حضور و غیاب'!$A$5:$A$205,"&gt;="&amp;'تنظیمات'!$B$5,'حضور و غیاب'!$A$5:$A$205,"&lt;="&amp;'تنظیمات'!$B$6)</x:f>
        <x:v>0</x:v>
      </x:c>
      <x:c r="G6" s="20" t="n">
        <x:f>SUMIFS('حضور و غیاب'!$L$5:$L$205,'حضور و غیاب'!$B$5:$B$205,$A6,'حضور و غیاب'!$A$5:$A$205,"&gt;="&amp;'تنظیمات'!$B$5,'حضور و غیاب'!$A$5:$A$205,"&lt;="&amp;'تنظیمات'!$B$6)</x:f>
        <x:v>0</x:v>
      </x:c>
      <x:c r="H6" s="21" t="n">
        <x:f>ROUND(C6*D6,2)</x:f>
        <x:v>0</x:v>
      </x:c>
      <x:c r="I6" s="21" t="n">
        <x:f>ROUND(C6*E6*'تنظیمات'!$B$7,2)</x:f>
        <x:v>0</x:v>
      </x:c>
      <x:c r="J6" s="21" t="n">
        <x:f>ROUND(C6*F6,2)</x:f>
        <x:v>0</x:v>
      </x:c>
      <x:c r="K6" s="21" t="n">
        <x:f>ROUND((H6+I6+J6)*'تنظیمات'!$B$8,2)</x:f>
        <x:v>0</x:v>
      </x:c>
      <x:c r="L6" s="21" t="n">
        <x:f>SUM(H6:K6)</x:f>
        <x:v>0</x:v>
      </x:c>
      <x:c r="M6" s="21" t="n">
        <x:f>ROUND(MAX(0,L6-'تنظیمات'!$B$9)*'تنظیمات'!$B$10,2)</x:f>
        <x:v>0</x:v>
      </x:c>
      <x:c r="N6" s="21" t="n">
        <x:f>ROUND(MAX(0,L6*12-'تنظیمات'!$B$11)/12*'تنظیمات'!$B$12,2)</x:f>
        <x:v>0</x:v>
      </x:c>
      <x:c r="O6" s="21" t="n">
        <x:f>ROUND(L6*'تنظیمات'!$B$13,2)</x:f>
        <x:v>0</x:v>
      </x:c>
      <x:c r="P6" s="21" t="n">
        <x:f>ROUND((MIN(L6*12,'تنظیمات'!$B$17)*'تنظیمات'!$B$18+MAX(0,MIN(L6*12,'تنظیمات'!$B$19)-'تنظیمات'!$B$17)*'تنظیمات'!$B$20)/12,2)</x:f>
        <x:v>0</x:v>
      </x:c>
      <x:c r="Q6" s="21" t="n">
        <x:f>ROUND(MIN(L6*12,'تنظیمات'!$B$21)*'تنظیمات'!$B$22/12,2)</x:f>
        <x:v>0</x:v>
      </x:c>
      <x:c r="R6" s="21" t="n">
        <x:f>ROUND(MIN('تنظیمات'!$B$16,MAX(0,L6*12-'تنظیمات'!$B$14)*'تنظیمات'!$B$15)/12,2)</x:f>
        <x:v>0</x:v>
      </x:c>
      <x:c r="S6" s="21" t="n">
        <x:f>SUM(M6:R6)</x:f>
        <x:v>0</x:v>
      </x:c>
      <x:c r="T6" s="21" t="n">
        <x:f>L6-S6</x:f>
        <x:v>0</x:v>
      </x:c>
      <x:c r="U6" s="22" t="n">
        <x:f>'تنظیمات'!$B$5</x:f>
        <x:v>46266</x:v>
      </x:c>
      <x:c r="V6" s="22" t="n">
        <x:f>'تنظیمات'!$B$6</x:f>
        <x:v>46295</x:v>
      </x:c>
      <x:c r="W6" s="17" t="str">
        <x:f>IF(AND(A6&lt;&gt;"",T6&gt;=0),"OK","بررسی شود")</x:f>
        <x:v>بررسی شود</x:v>
      </x:c>
    </x:row>
    <x:row r="7">
      <x:c r="A7" s="13"/>
      <x:c r="B7" s="17" t="str">
        <x:f>IFERROR(VLOOKUP(A7,'کارمندان'!$A$5:$H$205,2,FALSE),"")</x:f>
      </x:c>
      <x:c r="C7" s="21" t="str">
        <x:f>IFERROR(VLOOKUP(A7,'کارمندان'!$A$5:$H$205,5,FALSE),0)</x:f>
      </x:c>
      <x:c r="D7" s="20" t="n">
        <x:f>SUMIFS('حضور و غیاب'!$J$5:$J$205,'حضور و غیاب'!$B$5:$B$205,$A7,'حضور و غیاب'!$A$5:$A$205,"&gt;="&amp;'تنظیمات'!$B$5,'حضور و غیاب'!$A$5:$A$205,"&lt;="&amp;'تنظیمات'!$B$6)</x:f>
        <x:v>0</x:v>
      </x:c>
      <x:c r="E7" s="20" t="n">
        <x:f>SUMIFS('حضور و غیاب'!$K$5:$K$205,'حضور و غیاب'!$B$5:$B$205,$A7,'حضور و غیاب'!$A$5:$A$205,"&gt;="&amp;'تنظیمات'!$B$5,'حضور و غیاب'!$A$5:$A$205,"&lt;="&amp;'تنظیمات'!$B$6)</x:f>
        <x:v>0</x:v>
      </x:c>
      <x:c r="F7" s="20" t="n">
        <x:f>SUMIFS('حضور و غیاب'!$G$5:$G$205,'حضور و غیاب'!$B$5:$B$205,$A7,'حضور و غیاب'!$F$5:$F$205,"Paid",'حضور و غیاب'!$A$5:$A$205,"&gt;="&amp;'تنظیمات'!$B$5,'حضور و غیاب'!$A$5:$A$205,"&lt;="&amp;'تنظیمات'!$B$6)</x:f>
        <x:v>0</x:v>
      </x:c>
      <x:c r="G7" s="20" t="n">
        <x:f>SUMIFS('حضور و غیاب'!$L$5:$L$205,'حضور و غیاب'!$B$5:$B$205,$A7,'حضور و غیاب'!$A$5:$A$205,"&gt;="&amp;'تنظیمات'!$B$5,'حضور و غیاب'!$A$5:$A$205,"&lt;="&amp;'تنظیمات'!$B$6)</x:f>
        <x:v>0</x:v>
      </x:c>
      <x:c r="H7" s="21" t="n">
        <x:f>ROUND(C7*D7,2)</x:f>
        <x:v>0</x:v>
      </x:c>
      <x:c r="I7" s="21" t="n">
        <x:f>ROUND(C7*E7*'تنظیمات'!$B$7,2)</x:f>
        <x:v>0</x:v>
      </x:c>
      <x:c r="J7" s="21" t="n">
        <x:f>ROUND(C7*F7,2)</x:f>
        <x:v>0</x:v>
      </x:c>
      <x:c r="K7" s="21" t="n">
        <x:f>ROUND((H7+I7+J7)*'تنظیمات'!$B$8,2)</x:f>
        <x:v>0</x:v>
      </x:c>
      <x:c r="L7" s="21" t="n">
        <x:f>SUM(H7:K7)</x:f>
        <x:v>0</x:v>
      </x:c>
      <x:c r="M7" s="21" t="n">
        <x:f>ROUND(MAX(0,L7-'تنظیمات'!$B$9)*'تنظیمات'!$B$10,2)</x:f>
        <x:v>0</x:v>
      </x:c>
      <x:c r="N7" s="21" t="n">
        <x:f>ROUND(MAX(0,L7*12-'تنظیمات'!$B$11)/12*'تنظیمات'!$B$12,2)</x:f>
        <x:v>0</x:v>
      </x:c>
      <x:c r="O7" s="21" t="n">
        <x:f>ROUND(L7*'تنظیمات'!$B$13,2)</x:f>
        <x:v>0</x:v>
      </x:c>
      <x:c r="P7" s="21" t="n">
        <x:f>ROUND((MIN(L7*12,'تنظیمات'!$B$17)*'تنظیمات'!$B$18+MAX(0,MIN(L7*12,'تنظیمات'!$B$19)-'تنظیمات'!$B$17)*'تنظیمات'!$B$20)/12,2)</x:f>
        <x:v>0</x:v>
      </x:c>
      <x:c r="Q7" s="21" t="n">
        <x:f>ROUND(MIN(L7*12,'تنظیمات'!$B$21)*'تنظیمات'!$B$22/12,2)</x:f>
        <x:v>0</x:v>
      </x:c>
      <x:c r="R7" s="21" t="n">
        <x:f>ROUND(MIN('تنظیمات'!$B$16,MAX(0,L7*12-'تنظیمات'!$B$14)*'تنظیمات'!$B$15)/12,2)</x:f>
        <x:v>0</x:v>
      </x:c>
      <x:c r="S7" s="21" t="n">
        <x:f>SUM(M7:R7)</x:f>
        <x:v>0</x:v>
      </x:c>
      <x:c r="T7" s="21" t="n">
        <x:f>L7-S7</x:f>
        <x:v>0</x:v>
      </x:c>
      <x:c r="U7" s="22" t="n">
        <x:f>'تنظیمات'!$B$5</x:f>
        <x:v>46266</x:v>
      </x:c>
      <x:c r="V7" s="22" t="n">
        <x:f>'تنظیمات'!$B$6</x:f>
        <x:v>46295</x:v>
      </x:c>
      <x:c r="W7" s="17" t="str">
        <x:f>IF(AND(A7&lt;&gt;"",T7&gt;=0),"OK","بررسی شود")</x:f>
        <x:v>بررسی شود</x:v>
      </x:c>
    </x:row>
    <x:row r="8">
      <x:c r="A8" s="13"/>
      <x:c r="B8" s="17" t="str">
        <x:f>IFERROR(VLOOKUP(A8,'کارمندان'!$A$5:$H$205,2,FALSE),"")</x:f>
      </x:c>
      <x:c r="C8" s="21" t="str">
        <x:f>IFERROR(VLOOKUP(A8,'کارمندان'!$A$5:$H$205,5,FALSE),0)</x:f>
      </x:c>
      <x:c r="D8" s="20" t="n">
        <x:f>SUMIFS('حضور و غیاب'!$J$5:$J$205,'حضور و غیاب'!$B$5:$B$205,$A8,'حضور و غیاب'!$A$5:$A$205,"&gt;="&amp;'تنظیمات'!$B$5,'حضور و غیاب'!$A$5:$A$205,"&lt;="&amp;'تنظیمات'!$B$6)</x:f>
        <x:v>0</x:v>
      </x:c>
      <x:c r="E8" s="20" t="n">
        <x:f>SUMIFS('حضور و غیاب'!$K$5:$K$205,'حضور و غیاب'!$B$5:$B$205,$A8,'حضور و غیاب'!$A$5:$A$205,"&gt;="&amp;'تنظیمات'!$B$5,'حضور و غیاب'!$A$5:$A$205,"&lt;="&amp;'تنظیمات'!$B$6)</x:f>
        <x:v>0</x:v>
      </x:c>
      <x:c r="F8" s="20" t="n">
        <x:f>SUMIFS('حضور و غیاب'!$G$5:$G$205,'حضور و غیاب'!$B$5:$B$205,$A8,'حضور و غیاب'!$F$5:$F$205,"Paid",'حضور و غیاب'!$A$5:$A$205,"&gt;="&amp;'تنظیمات'!$B$5,'حضور و غیاب'!$A$5:$A$205,"&lt;="&amp;'تنظیمات'!$B$6)</x:f>
        <x:v>0</x:v>
      </x:c>
      <x:c r="G8" s="20" t="n">
        <x:f>SUMIFS('حضور و غیاب'!$L$5:$L$205,'حضور و غیاب'!$B$5:$B$205,$A8,'حضور و غیاب'!$A$5:$A$205,"&gt;="&amp;'تنظیمات'!$B$5,'حضور و غیاب'!$A$5:$A$205,"&lt;="&amp;'تنظیمات'!$B$6)</x:f>
        <x:v>0</x:v>
      </x:c>
      <x:c r="H8" s="21" t="n">
        <x:f>ROUND(C8*D8,2)</x:f>
        <x:v>0</x:v>
      </x:c>
      <x:c r="I8" s="21" t="n">
        <x:f>ROUND(C8*E8*'تنظیمات'!$B$7,2)</x:f>
        <x:v>0</x:v>
      </x:c>
      <x:c r="J8" s="21" t="n">
        <x:f>ROUND(C8*F8,2)</x:f>
        <x:v>0</x:v>
      </x:c>
      <x:c r="K8" s="21" t="n">
        <x:f>ROUND((H8+I8+J8)*'تنظیمات'!$B$8,2)</x:f>
        <x:v>0</x:v>
      </x:c>
      <x:c r="L8" s="21" t="n">
        <x:f>SUM(H8:K8)</x:f>
        <x:v>0</x:v>
      </x:c>
      <x:c r="M8" s="21" t="n">
        <x:f>ROUND(MAX(0,L8-'تنظیمات'!$B$9)*'تنظیمات'!$B$10,2)</x:f>
        <x:v>0</x:v>
      </x:c>
      <x:c r="N8" s="21" t="n">
        <x:f>ROUND(MAX(0,L8*12-'تنظیمات'!$B$11)/12*'تنظیمات'!$B$12,2)</x:f>
        <x:v>0</x:v>
      </x:c>
      <x:c r="O8" s="21" t="n">
        <x:f>ROUND(L8*'تنظیمات'!$B$13,2)</x:f>
        <x:v>0</x:v>
      </x:c>
      <x:c r="P8" s="21" t="n">
        <x:f>ROUND((MIN(L8*12,'تنظیمات'!$B$17)*'تنظیمات'!$B$18+MAX(0,MIN(L8*12,'تنظیمات'!$B$19)-'تنظیمات'!$B$17)*'تنظیمات'!$B$20)/12,2)</x:f>
        <x:v>0</x:v>
      </x:c>
      <x:c r="Q8" s="21" t="n">
        <x:f>ROUND(MIN(L8*12,'تنظیمات'!$B$21)*'تنظیمات'!$B$22/12,2)</x:f>
        <x:v>0</x:v>
      </x:c>
      <x:c r="R8" s="21" t="n">
        <x:f>ROUND(MIN('تنظیمات'!$B$16,MAX(0,L8*12-'تنظیمات'!$B$14)*'تنظیمات'!$B$15)/12,2)</x:f>
        <x:v>0</x:v>
      </x:c>
      <x:c r="S8" s="21" t="n">
        <x:f>SUM(M8:R8)</x:f>
        <x:v>0</x:v>
      </x:c>
      <x:c r="T8" s="21" t="n">
        <x:f>L8-S8</x:f>
        <x:v>0</x:v>
      </x:c>
      <x:c r="U8" s="22" t="n">
        <x:f>'تنظیمات'!$B$5</x:f>
        <x:v>46266</x:v>
      </x:c>
      <x:c r="V8" s="22" t="n">
        <x:f>'تنظیمات'!$B$6</x:f>
        <x:v>46295</x:v>
      </x:c>
      <x:c r="W8" s="17" t="str">
        <x:f>IF(AND(A8&lt;&gt;"",T8&gt;=0),"OK","بررسی شود")</x:f>
        <x:v>بررسی شود</x:v>
      </x:c>
    </x:row>
    <x:row r="9">
      <x:c r="A9" s="13"/>
      <x:c r="B9" s="17" t="str">
        <x:f>IFERROR(VLOOKUP(A9,'کارمندان'!$A$5:$H$205,2,FALSE),"")</x:f>
      </x:c>
      <x:c r="C9" s="21" t="str">
        <x:f>IFERROR(VLOOKUP(A9,'کارمندان'!$A$5:$H$205,5,FALSE),0)</x:f>
      </x:c>
      <x:c r="D9" s="20" t="n">
        <x:f>SUMIFS('حضور و غیاب'!$J$5:$J$205,'حضور و غیاب'!$B$5:$B$205,$A9,'حضور و غیاب'!$A$5:$A$205,"&gt;="&amp;'تنظیمات'!$B$5,'حضور و غیاب'!$A$5:$A$205,"&lt;="&amp;'تنظیمات'!$B$6)</x:f>
        <x:v>0</x:v>
      </x:c>
      <x:c r="E9" s="20" t="n">
        <x:f>SUMIFS('حضور و غیاب'!$K$5:$K$205,'حضور و غیاب'!$B$5:$B$205,$A9,'حضور و غیاب'!$A$5:$A$205,"&gt;="&amp;'تنظیمات'!$B$5,'حضور و غیاب'!$A$5:$A$205,"&lt;="&amp;'تنظیمات'!$B$6)</x:f>
        <x:v>0</x:v>
      </x:c>
      <x:c r="F9" s="20" t="n">
        <x:f>SUMIFS('حضور و غیاب'!$G$5:$G$205,'حضور و غیاب'!$B$5:$B$205,$A9,'حضور و غیاب'!$F$5:$F$205,"Paid",'حضور و غیاب'!$A$5:$A$205,"&gt;="&amp;'تنظیمات'!$B$5,'حضور و غیاب'!$A$5:$A$205,"&lt;="&amp;'تنظیمات'!$B$6)</x:f>
        <x:v>0</x:v>
      </x:c>
      <x:c r="G9" s="20" t="n">
        <x:f>SUMIFS('حضور و غیاب'!$L$5:$L$205,'حضور و غیاب'!$B$5:$B$205,$A9,'حضور و غیاب'!$A$5:$A$205,"&gt;="&amp;'تنظیمات'!$B$5,'حضور و غیاب'!$A$5:$A$205,"&lt;="&amp;'تنظیمات'!$B$6)</x:f>
        <x:v>0</x:v>
      </x:c>
      <x:c r="H9" s="21" t="n">
        <x:f>ROUND(C9*D9,2)</x:f>
        <x:v>0</x:v>
      </x:c>
      <x:c r="I9" s="21" t="n">
        <x:f>ROUND(C9*E9*'تنظیمات'!$B$7,2)</x:f>
        <x:v>0</x:v>
      </x:c>
      <x:c r="J9" s="21" t="n">
        <x:f>ROUND(C9*F9,2)</x:f>
        <x:v>0</x:v>
      </x:c>
      <x:c r="K9" s="21" t="n">
        <x:f>ROUND((H9+I9+J9)*'تنظیمات'!$B$8,2)</x:f>
        <x:v>0</x:v>
      </x:c>
      <x:c r="L9" s="21" t="n">
        <x:f>SUM(H9:K9)</x:f>
        <x:v>0</x:v>
      </x:c>
      <x:c r="M9" s="21" t="n">
        <x:f>ROUND(MAX(0,L9-'تنظیمات'!$B$9)*'تنظیمات'!$B$10,2)</x:f>
        <x:v>0</x:v>
      </x:c>
      <x:c r="N9" s="21" t="n">
        <x:f>ROUND(MAX(0,L9*12-'تنظیمات'!$B$11)/12*'تنظیمات'!$B$12,2)</x:f>
        <x:v>0</x:v>
      </x:c>
      <x:c r="O9" s="21" t="n">
        <x:f>ROUND(L9*'تنظیمات'!$B$13,2)</x:f>
        <x:v>0</x:v>
      </x:c>
      <x:c r="P9" s="21" t="n">
        <x:f>ROUND((MIN(L9*12,'تنظیمات'!$B$17)*'تنظیمات'!$B$18+MAX(0,MIN(L9*12,'تنظیمات'!$B$19)-'تنظیمات'!$B$17)*'تنظیمات'!$B$20)/12,2)</x:f>
        <x:v>0</x:v>
      </x:c>
      <x:c r="Q9" s="21" t="n">
        <x:f>ROUND(MIN(L9*12,'تنظیمات'!$B$21)*'تنظیمات'!$B$22/12,2)</x:f>
        <x:v>0</x:v>
      </x:c>
      <x:c r="R9" s="21" t="n">
        <x:f>ROUND(MIN('تنظیمات'!$B$16,MAX(0,L9*12-'تنظیمات'!$B$14)*'تنظیمات'!$B$15)/12,2)</x:f>
        <x:v>0</x:v>
      </x:c>
      <x:c r="S9" s="21" t="n">
        <x:f>SUM(M9:R9)</x:f>
        <x:v>0</x:v>
      </x:c>
      <x:c r="T9" s="21" t="n">
        <x:f>L9-S9</x:f>
        <x:v>0</x:v>
      </x:c>
      <x:c r="U9" s="22" t="n">
        <x:f>'تنظیمات'!$B$5</x:f>
        <x:v>46266</x:v>
      </x:c>
      <x:c r="V9" s="22" t="n">
        <x:f>'تنظیمات'!$B$6</x:f>
        <x:v>46295</x:v>
      </x:c>
      <x:c r="W9" s="17" t="str">
        <x:f>IF(AND(A9&lt;&gt;"",T9&gt;=0),"OK","بررسی شود")</x:f>
        <x:v>بررسی شود</x:v>
      </x:c>
    </x:row>
    <x:row r="10">
      <x:c r="A10" s="13"/>
      <x:c r="B10" s="17" t="str">
        <x:f>IFERROR(VLOOKUP(A10,'کارمندان'!$A$5:$H$205,2,FALSE),"")</x:f>
      </x:c>
      <x:c r="C10" s="21" t="str">
        <x:f>IFERROR(VLOOKUP(A10,'کارمندان'!$A$5:$H$205,5,FALSE),0)</x:f>
      </x:c>
      <x:c r="D10" s="20" t="n">
        <x:f>SUMIFS('حضور و غیاب'!$J$5:$J$205,'حضور و غیاب'!$B$5:$B$205,$A10,'حضور و غیاب'!$A$5:$A$205,"&gt;="&amp;'تنظیمات'!$B$5,'حضور و غیاب'!$A$5:$A$205,"&lt;="&amp;'تنظیمات'!$B$6)</x:f>
        <x:v>0</x:v>
      </x:c>
      <x:c r="E10" s="20" t="n">
        <x:f>SUMIFS('حضور و غیاب'!$K$5:$K$205,'حضور و غیاب'!$B$5:$B$205,$A10,'حضور و غیاب'!$A$5:$A$205,"&gt;="&amp;'تنظیمات'!$B$5,'حضور و غیاب'!$A$5:$A$205,"&lt;="&amp;'تنظیمات'!$B$6)</x:f>
        <x:v>0</x:v>
      </x:c>
      <x:c r="F10" s="20" t="n">
        <x:f>SUMIFS('حضور و غیاب'!$G$5:$G$205,'حضور و غیاب'!$B$5:$B$205,$A10,'حضور و غیاب'!$F$5:$F$205,"Paid",'حضور و غیاب'!$A$5:$A$205,"&gt;="&amp;'تنظیمات'!$B$5,'حضور و غیاب'!$A$5:$A$205,"&lt;="&amp;'تنظیمات'!$B$6)</x:f>
        <x:v>0</x:v>
      </x:c>
      <x:c r="G10" s="20" t="n">
        <x:f>SUMIFS('حضور و غیاب'!$L$5:$L$205,'حضور و غیاب'!$B$5:$B$205,$A10,'حضور و غیاب'!$A$5:$A$205,"&gt;="&amp;'تنظیمات'!$B$5,'حضور و غیاب'!$A$5:$A$205,"&lt;="&amp;'تنظیمات'!$B$6)</x:f>
        <x:v>0</x:v>
      </x:c>
      <x:c r="H10" s="21" t="n">
        <x:f>ROUND(C10*D10,2)</x:f>
        <x:v>0</x:v>
      </x:c>
      <x:c r="I10" s="21" t="n">
        <x:f>ROUND(C10*E10*'تنظیمات'!$B$7,2)</x:f>
        <x:v>0</x:v>
      </x:c>
      <x:c r="J10" s="21" t="n">
        <x:f>ROUND(C10*F10,2)</x:f>
        <x:v>0</x:v>
      </x:c>
      <x:c r="K10" s="21" t="n">
        <x:f>ROUND((H10+I10+J10)*'تنظیمات'!$B$8,2)</x:f>
        <x:v>0</x:v>
      </x:c>
      <x:c r="L10" s="21" t="n">
        <x:f>SUM(H10:K10)</x:f>
        <x:v>0</x:v>
      </x:c>
      <x:c r="M10" s="21" t="n">
        <x:f>ROUND(MAX(0,L10-'تنظیمات'!$B$9)*'تنظیمات'!$B$10,2)</x:f>
        <x:v>0</x:v>
      </x:c>
      <x:c r="N10" s="21" t="n">
        <x:f>ROUND(MAX(0,L10*12-'تنظیمات'!$B$11)/12*'تنظیمات'!$B$12,2)</x:f>
        <x:v>0</x:v>
      </x:c>
      <x:c r="O10" s="21" t="n">
        <x:f>ROUND(L10*'تنظیمات'!$B$13,2)</x:f>
        <x:v>0</x:v>
      </x:c>
      <x:c r="P10" s="21" t="n">
        <x:f>ROUND((MIN(L10*12,'تنظیمات'!$B$17)*'تنظیمات'!$B$18+MAX(0,MIN(L10*12,'تنظیمات'!$B$19)-'تنظیمات'!$B$17)*'تنظیمات'!$B$20)/12,2)</x:f>
        <x:v>0</x:v>
      </x:c>
      <x:c r="Q10" s="21" t="n">
        <x:f>ROUND(MIN(L10*12,'تنظیمات'!$B$21)*'تنظیمات'!$B$22/12,2)</x:f>
        <x:v>0</x:v>
      </x:c>
      <x:c r="R10" s="21" t="n">
        <x:f>ROUND(MIN('تنظیمات'!$B$16,MAX(0,L10*12-'تنظیمات'!$B$14)*'تنظیمات'!$B$15)/12,2)</x:f>
        <x:v>0</x:v>
      </x:c>
      <x:c r="S10" s="21" t="n">
        <x:f>SUM(M10:R10)</x:f>
        <x:v>0</x:v>
      </x:c>
      <x:c r="T10" s="21" t="n">
        <x:f>L10-S10</x:f>
        <x:v>0</x:v>
      </x:c>
      <x:c r="U10" s="22" t="n">
        <x:f>'تنظیمات'!$B$5</x:f>
        <x:v>46266</x:v>
      </x:c>
      <x:c r="V10" s="22" t="n">
        <x:f>'تنظیمات'!$B$6</x:f>
        <x:v>46295</x:v>
      </x:c>
      <x:c r="W10" s="17" t="str">
        <x:f>IF(AND(A10&lt;&gt;"",T10&gt;=0),"OK","بررسی شود")</x:f>
        <x:v>بررسی شود</x:v>
      </x:c>
    </x:row>
    <x:row r="11">
      <x:c r="A11" s="13"/>
      <x:c r="B11" s="17" t="str">
        <x:f>IFERROR(VLOOKUP(A11,'کارمندان'!$A$5:$H$205,2,FALSE),"")</x:f>
      </x:c>
      <x:c r="C11" s="21" t="str">
        <x:f>IFERROR(VLOOKUP(A11,'کارمندان'!$A$5:$H$205,5,FALSE),0)</x:f>
      </x:c>
      <x:c r="D11" s="20" t="n">
        <x:f>SUMIFS('حضور و غیاب'!$J$5:$J$205,'حضور و غیاب'!$B$5:$B$205,$A11,'حضور و غیاب'!$A$5:$A$205,"&gt;="&amp;'تنظیمات'!$B$5,'حضور و غیاب'!$A$5:$A$205,"&lt;="&amp;'تنظیمات'!$B$6)</x:f>
        <x:v>0</x:v>
      </x:c>
      <x:c r="E11" s="20" t="n">
        <x:f>SUMIFS('حضور و غیاب'!$K$5:$K$205,'حضور و غیاب'!$B$5:$B$205,$A11,'حضور و غیاب'!$A$5:$A$205,"&gt;="&amp;'تنظیمات'!$B$5,'حضور و غیاب'!$A$5:$A$205,"&lt;="&amp;'تنظیمات'!$B$6)</x:f>
        <x:v>0</x:v>
      </x:c>
      <x:c r="F11" s="20" t="n">
        <x:f>SUMIFS('حضور و غیاب'!$G$5:$G$205,'حضور و غیاب'!$B$5:$B$205,$A11,'حضور و غیاب'!$F$5:$F$205,"Paid",'حضور و غیاب'!$A$5:$A$205,"&gt;="&amp;'تنظیمات'!$B$5,'حضور و غیاب'!$A$5:$A$205,"&lt;="&amp;'تنظیمات'!$B$6)</x:f>
        <x:v>0</x:v>
      </x:c>
      <x:c r="G11" s="20" t="n">
        <x:f>SUMIFS('حضور و غیاب'!$L$5:$L$205,'حضور و غیاب'!$B$5:$B$205,$A11,'حضور و غیاب'!$A$5:$A$205,"&gt;="&amp;'تنظیمات'!$B$5,'حضور و غیاب'!$A$5:$A$205,"&lt;="&amp;'تنظیمات'!$B$6)</x:f>
        <x:v>0</x:v>
      </x:c>
      <x:c r="H11" s="21" t="n">
        <x:f>ROUND(C11*D11,2)</x:f>
        <x:v>0</x:v>
      </x:c>
      <x:c r="I11" s="21" t="n">
        <x:f>ROUND(C11*E11*'تنظیمات'!$B$7,2)</x:f>
        <x:v>0</x:v>
      </x:c>
      <x:c r="J11" s="21" t="n">
        <x:f>ROUND(C11*F11,2)</x:f>
        <x:v>0</x:v>
      </x:c>
      <x:c r="K11" s="21" t="n">
        <x:f>ROUND((H11+I11+J11)*'تنظیمات'!$B$8,2)</x:f>
        <x:v>0</x:v>
      </x:c>
      <x:c r="L11" s="21" t="n">
        <x:f>SUM(H11:K11)</x:f>
        <x:v>0</x:v>
      </x:c>
      <x:c r="M11" s="21" t="n">
        <x:f>ROUND(MAX(0,L11-'تنظیمات'!$B$9)*'تنظیمات'!$B$10,2)</x:f>
        <x:v>0</x:v>
      </x:c>
      <x:c r="N11" s="21" t="n">
        <x:f>ROUND(MAX(0,L11*12-'تنظیمات'!$B$11)/12*'تنظیمات'!$B$12,2)</x:f>
        <x:v>0</x:v>
      </x:c>
      <x:c r="O11" s="21" t="n">
        <x:f>ROUND(L11*'تنظیمات'!$B$13,2)</x:f>
        <x:v>0</x:v>
      </x:c>
      <x:c r="P11" s="21" t="n">
        <x:f>ROUND((MIN(L11*12,'تنظیمات'!$B$17)*'تنظیمات'!$B$18+MAX(0,MIN(L11*12,'تنظیمات'!$B$19)-'تنظیمات'!$B$17)*'تنظیمات'!$B$20)/12,2)</x:f>
        <x:v>0</x:v>
      </x:c>
      <x:c r="Q11" s="21" t="n">
        <x:f>ROUND(MIN(L11*12,'تنظیمات'!$B$21)*'تنظیمات'!$B$22/12,2)</x:f>
        <x:v>0</x:v>
      </x:c>
      <x:c r="R11" s="21" t="n">
        <x:f>ROUND(MIN('تنظیمات'!$B$16,MAX(0,L11*12-'تنظیمات'!$B$14)*'تنظیمات'!$B$15)/12,2)</x:f>
        <x:v>0</x:v>
      </x:c>
      <x:c r="S11" s="21" t="n">
        <x:f>SUM(M11:R11)</x:f>
        <x:v>0</x:v>
      </x:c>
      <x:c r="T11" s="21" t="n">
        <x:f>L11-S11</x:f>
        <x:v>0</x:v>
      </x:c>
      <x:c r="U11" s="22" t="n">
        <x:f>'تنظیمات'!$B$5</x:f>
        <x:v>46266</x:v>
      </x:c>
      <x:c r="V11" s="22" t="n">
        <x:f>'تنظیمات'!$B$6</x:f>
        <x:v>46295</x:v>
      </x:c>
      <x:c r="W11" s="17" t="str">
        <x:f>IF(AND(A11&lt;&gt;"",T11&gt;=0),"OK","بررسی شود")</x:f>
        <x:v>بررسی شود</x:v>
      </x:c>
    </x:row>
    <x:row r="12">
      <x:c r="A12" s="13"/>
      <x:c r="B12" s="17" t="str">
        <x:f>IFERROR(VLOOKUP(A12,'کارمندان'!$A$5:$H$205,2,FALSE),"")</x:f>
      </x:c>
      <x:c r="C12" s="21" t="str">
        <x:f>IFERROR(VLOOKUP(A12,'کارمندان'!$A$5:$H$205,5,FALSE),0)</x:f>
      </x:c>
      <x:c r="D12" s="20" t="n">
        <x:f>SUMIFS('حضور و غیاب'!$J$5:$J$205,'حضور و غیاب'!$B$5:$B$205,$A12,'حضور و غیاب'!$A$5:$A$205,"&gt;="&amp;'تنظیمات'!$B$5,'حضور و غیاب'!$A$5:$A$205,"&lt;="&amp;'تنظیمات'!$B$6)</x:f>
        <x:v>0</x:v>
      </x:c>
      <x:c r="E12" s="20" t="n">
        <x:f>SUMIFS('حضور و غیاب'!$K$5:$K$205,'حضور و غیاب'!$B$5:$B$205,$A12,'حضور و غیاب'!$A$5:$A$205,"&gt;="&amp;'تنظیمات'!$B$5,'حضور و غیاب'!$A$5:$A$205,"&lt;="&amp;'تنظیمات'!$B$6)</x:f>
        <x:v>0</x:v>
      </x:c>
      <x:c r="F12" s="20" t="n">
        <x:f>SUMIFS('حضور و غیاب'!$G$5:$G$205,'حضور و غیاب'!$B$5:$B$205,$A12,'حضور و غیاب'!$F$5:$F$205,"Paid",'حضور و غیاب'!$A$5:$A$205,"&gt;="&amp;'تنظیمات'!$B$5,'حضور و غیاب'!$A$5:$A$205,"&lt;="&amp;'تنظیمات'!$B$6)</x:f>
        <x:v>0</x:v>
      </x:c>
      <x:c r="G12" s="20" t="n">
        <x:f>SUMIFS('حضور و غیاب'!$L$5:$L$205,'حضور و غیاب'!$B$5:$B$205,$A12,'حضور و غیاب'!$A$5:$A$205,"&gt;="&amp;'تنظیمات'!$B$5,'حضور و غیاب'!$A$5:$A$205,"&lt;="&amp;'تنظیمات'!$B$6)</x:f>
        <x:v>0</x:v>
      </x:c>
      <x:c r="H12" s="21" t="n">
        <x:f>ROUND(C12*D12,2)</x:f>
        <x:v>0</x:v>
      </x:c>
      <x:c r="I12" s="21" t="n">
        <x:f>ROUND(C12*E12*'تنظیمات'!$B$7,2)</x:f>
        <x:v>0</x:v>
      </x:c>
      <x:c r="J12" s="21" t="n">
        <x:f>ROUND(C12*F12,2)</x:f>
        <x:v>0</x:v>
      </x:c>
      <x:c r="K12" s="21" t="n">
        <x:f>ROUND((H12+I12+J12)*'تنظیمات'!$B$8,2)</x:f>
        <x:v>0</x:v>
      </x:c>
      <x:c r="L12" s="21" t="n">
        <x:f>SUM(H12:K12)</x:f>
        <x:v>0</x:v>
      </x:c>
      <x:c r="M12" s="21" t="n">
        <x:f>ROUND(MAX(0,L12-'تنظیمات'!$B$9)*'تنظیمات'!$B$10,2)</x:f>
        <x:v>0</x:v>
      </x:c>
      <x:c r="N12" s="21" t="n">
        <x:f>ROUND(MAX(0,L12*12-'تنظیمات'!$B$11)/12*'تنظیمات'!$B$12,2)</x:f>
        <x:v>0</x:v>
      </x:c>
      <x:c r="O12" s="21" t="n">
        <x:f>ROUND(L12*'تنظیمات'!$B$13,2)</x:f>
        <x:v>0</x:v>
      </x:c>
      <x:c r="P12" s="21" t="n">
        <x:f>ROUND((MIN(L12*12,'تنظیمات'!$B$17)*'تنظیمات'!$B$18+MAX(0,MIN(L12*12,'تنظیمات'!$B$19)-'تنظیمات'!$B$17)*'تنظیمات'!$B$20)/12,2)</x:f>
        <x:v>0</x:v>
      </x:c>
      <x:c r="Q12" s="21" t="n">
        <x:f>ROUND(MIN(L12*12,'تنظیمات'!$B$21)*'تنظیمات'!$B$22/12,2)</x:f>
        <x:v>0</x:v>
      </x:c>
      <x:c r="R12" s="21" t="n">
        <x:f>ROUND(MIN('تنظیمات'!$B$16,MAX(0,L12*12-'تنظیمات'!$B$14)*'تنظیمات'!$B$15)/12,2)</x:f>
        <x:v>0</x:v>
      </x:c>
      <x:c r="S12" s="21" t="n">
        <x:f>SUM(M12:R12)</x:f>
        <x:v>0</x:v>
      </x:c>
      <x:c r="T12" s="21" t="n">
        <x:f>L12-S12</x:f>
        <x:v>0</x:v>
      </x:c>
      <x:c r="U12" s="22" t="n">
        <x:f>'تنظیمات'!$B$5</x:f>
        <x:v>46266</x:v>
      </x:c>
      <x:c r="V12" s="22" t="n">
        <x:f>'تنظیمات'!$B$6</x:f>
        <x:v>46295</x:v>
      </x:c>
      <x:c r="W12" s="17" t="str">
        <x:f>IF(AND(A12&lt;&gt;"",T12&gt;=0),"OK","بررسی شود")</x:f>
        <x:v>بررسی شود</x:v>
      </x:c>
    </x:row>
    <x:row r="13">
      <x:c r="A13" s="13"/>
      <x:c r="B13" s="17" t="str">
        <x:f>IFERROR(VLOOKUP(A13,'کارمندان'!$A$5:$H$205,2,FALSE),"")</x:f>
      </x:c>
      <x:c r="C13" s="21" t="str">
        <x:f>IFERROR(VLOOKUP(A13,'کارمندان'!$A$5:$H$205,5,FALSE),0)</x:f>
      </x:c>
      <x:c r="D13" s="20" t="n">
        <x:f>SUMIFS('حضور و غیاب'!$J$5:$J$205,'حضور و غیاب'!$B$5:$B$205,$A13,'حضور و غیاب'!$A$5:$A$205,"&gt;="&amp;'تنظیمات'!$B$5,'حضور و غیاب'!$A$5:$A$205,"&lt;="&amp;'تنظیمات'!$B$6)</x:f>
        <x:v>0</x:v>
      </x:c>
      <x:c r="E13" s="20" t="n">
        <x:f>SUMIFS('حضور و غیاب'!$K$5:$K$205,'حضور و غیاب'!$B$5:$B$205,$A13,'حضور و غیاب'!$A$5:$A$205,"&gt;="&amp;'تنظیمات'!$B$5,'حضور و غیاب'!$A$5:$A$205,"&lt;="&amp;'تنظیمات'!$B$6)</x:f>
        <x:v>0</x:v>
      </x:c>
      <x:c r="F13" s="20" t="n">
        <x:f>SUMIFS('حضور و غیاب'!$G$5:$G$205,'حضور و غیاب'!$B$5:$B$205,$A13,'حضور و غیاب'!$F$5:$F$205,"Paid",'حضور و غیاب'!$A$5:$A$205,"&gt;="&amp;'تنظیمات'!$B$5,'حضور و غیاب'!$A$5:$A$205,"&lt;="&amp;'تنظیمات'!$B$6)</x:f>
        <x:v>0</x:v>
      </x:c>
      <x:c r="G13" s="20" t="n">
        <x:f>SUMIFS('حضور و غیاب'!$L$5:$L$205,'حضور و غیاب'!$B$5:$B$205,$A13,'حضور و غیاب'!$A$5:$A$205,"&gt;="&amp;'تنظیمات'!$B$5,'حضور و غیاب'!$A$5:$A$205,"&lt;="&amp;'تنظیمات'!$B$6)</x:f>
        <x:v>0</x:v>
      </x:c>
      <x:c r="H13" s="21" t="n">
        <x:f>ROUND(C13*D13,2)</x:f>
        <x:v>0</x:v>
      </x:c>
      <x:c r="I13" s="21" t="n">
        <x:f>ROUND(C13*E13*'تنظیمات'!$B$7,2)</x:f>
        <x:v>0</x:v>
      </x:c>
      <x:c r="J13" s="21" t="n">
        <x:f>ROUND(C13*F13,2)</x:f>
        <x:v>0</x:v>
      </x:c>
      <x:c r="K13" s="21" t="n">
        <x:f>ROUND((H13+I13+J13)*'تنظیمات'!$B$8,2)</x:f>
        <x:v>0</x:v>
      </x:c>
      <x:c r="L13" s="21" t="n">
        <x:f>SUM(H13:K13)</x:f>
        <x:v>0</x:v>
      </x:c>
      <x:c r="M13" s="21" t="n">
        <x:f>ROUND(MAX(0,L13-'تنظیمات'!$B$9)*'تنظیمات'!$B$10,2)</x:f>
        <x:v>0</x:v>
      </x:c>
      <x:c r="N13" s="21" t="n">
        <x:f>ROUND(MAX(0,L13*12-'تنظیمات'!$B$11)/12*'تنظیمات'!$B$12,2)</x:f>
        <x:v>0</x:v>
      </x:c>
      <x:c r="O13" s="21" t="n">
        <x:f>ROUND(L13*'تنظیمات'!$B$13,2)</x:f>
        <x:v>0</x:v>
      </x:c>
      <x:c r="P13" s="21" t="n">
        <x:f>ROUND((MIN(L13*12,'تنظیمات'!$B$17)*'تنظیمات'!$B$18+MAX(0,MIN(L13*12,'تنظیمات'!$B$19)-'تنظیمات'!$B$17)*'تنظیمات'!$B$20)/12,2)</x:f>
        <x:v>0</x:v>
      </x:c>
      <x:c r="Q13" s="21" t="n">
        <x:f>ROUND(MIN(L13*12,'تنظیمات'!$B$21)*'تنظیمات'!$B$22/12,2)</x:f>
        <x:v>0</x:v>
      </x:c>
      <x:c r="R13" s="21" t="n">
        <x:f>ROUND(MIN('تنظیمات'!$B$16,MAX(0,L13*12-'تنظیمات'!$B$14)*'تنظیمات'!$B$15)/12,2)</x:f>
        <x:v>0</x:v>
      </x:c>
      <x:c r="S13" s="21" t="n">
        <x:f>SUM(M13:R13)</x:f>
        <x:v>0</x:v>
      </x:c>
      <x:c r="T13" s="21" t="n">
        <x:f>L13-S13</x:f>
        <x:v>0</x:v>
      </x:c>
      <x:c r="U13" s="22" t="n">
        <x:f>'تنظیمات'!$B$5</x:f>
        <x:v>46266</x:v>
      </x:c>
      <x:c r="V13" s="22" t="n">
        <x:f>'تنظیمات'!$B$6</x:f>
        <x:v>46295</x:v>
      </x:c>
      <x:c r="W13" s="17" t="str">
        <x:f>IF(AND(A13&lt;&gt;"",T13&gt;=0),"OK","بررسی شود")</x:f>
        <x:v>بررسی شود</x:v>
      </x:c>
    </x:row>
    <x:row r="14">
      <x:c r="A14" s="13"/>
      <x:c r="B14" s="17" t="str">
        <x:f>IFERROR(VLOOKUP(A14,'کارمندان'!$A$5:$H$205,2,FALSE),"")</x:f>
      </x:c>
      <x:c r="C14" s="21" t="str">
        <x:f>IFERROR(VLOOKUP(A14,'کارمندان'!$A$5:$H$205,5,FALSE),0)</x:f>
      </x:c>
      <x:c r="D14" s="20" t="n">
        <x:f>SUMIFS('حضور و غیاب'!$J$5:$J$205,'حضور و غیاب'!$B$5:$B$205,$A14,'حضور و غیاب'!$A$5:$A$205,"&gt;="&amp;'تنظیمات'!$B$5,'حضور و غیاب'!$A$5:$A$205,"&lt;="&amp;'تنظیمات'!$B$6)</x:f>
        <x:v>0</x:v>
      </x:c>
      <x:c r="E14" s="20" t="n">
        <x:f>SUMIFS('حضور و غیاب'!$K$5:$K$205,'حضور و غیاب'!$B$5:$B$205,$A14,'حضور و غیاب'!$A$5:$A$205,"&gt;="&amp;'تنظیمات'!$B$5,'حضور و غیاب'!$A$5:$A$205,"&lt;="&amp;'تنظیمات'!$B$6)</x:f>
        <x:v>0</x:v>
      </x:c>
      <x:c r="F14" s="20" t="n">
        <x:f>SUMIFS('حضور و غیاب'!$G$5:$G$205,'حضور و غیاب'!$B$5:$B$205,$A14,'حضور و غیاب'!$F$5:$F$205,"Paid",'حضور و غیاب'!$A$5:$A$205,"&gt;="&amp;'تنظیمات'!$B$5,'حضور و غیاب'!$A$5:$A$205,"&lt;="&amp;'تنظیمات'!$B$6)</x:f>
        <x:v>0</x:v>
      </x:c>
      <x:c r="G14" s="20" t="n">
        <x:f>SUMIFS('حضور و غیاب'!$L$5:$L$205,'حضور و غیاب'!$B$5:$B$205,$A14,'حضور و غیاب'!$A$5:$A$205,"&gt;="&amp;'تنظیمات'!$B$5,'حضور و غیاب'!$A$5:$A$205,"&lt;="&amp;'تنظیمات'!$B$6)</x:f>
        <x:v>0</x:v>
      </x:c>
      <x:c r="H14" s="21" t="n">
        <x:f>ROUND(C14*D14,2)</x:f>
        <x:v>0</x:v>
      </x:c>
      <x:c r="I14" s="21" t="n">
        <x:f>ROUND(C14*E14*'تنظیمات'!$B$7,2)</x:f>
        <x:v>0</x:v>
      </x:c>
      <x:c r="J14" s="21" t="n">
        <x:f>ROUND(C14*F14,2)</x:f>
        <x:v>0</x:v>
      </x:c>
      <x:c r="K14" s="21" t="n">
        <x:f>ROUND((H14+I14+J14)*'تنظیمات'!$B$8,2)</x:f>
        <x:v>0</x:v>
      </x:c>
      <x:c r="L14" s="21" t="n">
        <x:f>SUM(H14:K14)</x:f>
        <x:v>0</x:v>
      </x:c>
      <x:c r="M14" s="21" t="n">
        <x:f>ROUND(MAX(0,L14-'تنظیمات'!$B$9)*'تنظیمات'!$B$10,2)</x:f>
        <x:v>0</x:v>
      </x:c>
      <x:c r="N14" s="21" t="n">
        <x:f>ROUND(MAX(0,L14*12-'تنظیمات'!$B$11)/12*'تنظیمات'!$B$12,2)</x:f>
        <x:v>0</x:v>
      </x:c>
      <x:c r="O14" s="21" t="n">
        <x:f>ROUND(L14*'تنظیمات'!$B$13,2)</x:f>
        <x:v>0</x:v>
      </x:c>
      <x:c r="P14" s="21" t="n">
        <x:f>ROUND((MIN(L14*12,'تنظیمات'!$B$17)*'تنظیمات'!$B$18+MAX(0,MIN(L14*12,'تنظیمات'!$B$19)-'تنظیمات'!$B$17)*'تنظیمات'!$B$20)/12,2)</x:f>
        <x:v>0</x:v>
      </x:c>
      <x:c r="Q14" s="21" t="n">
        <x:f>ROUND(MIN(L14*12,'تنظیمات'!$B$21)*'تنظیمات'!$B$22/12,2)</x:f>
        <x:v>0</x:v>
      </x:c>
      <x:c r="R14" s="21" t="n">
        <x:f>ROUND(MIN('تنظیمات'!$B$16,MAX(0,L14*12-'تنظیمات'!$B$14)*'تنظیمات'!$B$15)/12,2)</x:f>
        <x:v>0</x:v>
      </x:c>
      <x:c r="S14" s="21" t="n">
        <x:f>SUM(M14:R14)</x:f>
        <x:v>0</x:v>
      </x:c>
      <x:c r="T14" s="21" t="n">
        <x:f>L14-S14</x:f>
        <x:v>0</x:v>
      </x:c>
      <x:c r="U14" s="22" t="n">
        <x:f>'تنظیمات'!$B$5</x:f>
        <x:v>46266</x:v>
      </x:c>
      <x:c r="V14" s="22" t="n">
        <x:f>'تنظیمات'!$B$6</x:f>
        <x:v>46295</x:v>
      </x:c>
      <x:c r="W14" s="17" t="str">
        <x:f>IF(AND(A14&lt;&gt;"",T14&gt;=0),"OK","بررسی شود")</x:f>
        <x:v>بررسی شود</x:v>
      </x:c>
    </x:row>
    <x:row r="15">
      <x:c r="A15" s="13"/>
      <x:c r="B15" s="17" t="str">
        <x:f>IFERROR(VLOOKUP(A15,'کارمندان'!$A$5:$H$205,2,FALSE),"")</x:f>
      </x:c>
      <x:c r="C15" s="21" t="str">
        <x:f>IFERROR(VLOOKUP(A15,'کارمندان'!$A$5:$H$205,5,FALSE),0)</x:f>
      </x:c>
      <x:c r="D15" s="20" t="n">
        <x:f>SUMIFS('حضور و غیاب'!$J$5:$J$205,'حضور و غیاب'!$B$5:$B$205,$A15,'حضور و غیاب'!$A$5:$A$205,"&gt;="&amp;'تنظیمات'!$B$5,'حضور و غیاب'!$A$5:$A$205,"&lt;="&amp;'تنظیمات'!$B$6)</x:f>
        <x:v>0</x:v>
      </x:c>
      <x:c r="E15" s="20" t="n">
        <x:f>SUMIFS('حضور و غیاب'!$K$5:$K$205,'حضور و غیاب'!$B$5:$B$205,$A15,'حضور و غیاب'!$A$5:$A$205,"&gt;="&amp;'تنظیمات'!$B$5,'حضور و غیاب'!$A$5:$A$205,"&lt;="&amp;'تنظیمات'!$B$6)</x:f>
        <x:v>0</x:v>
      </x:c>
      <x:c r="F15" s="20" t="n">
        <x:f>SUMIFS('حضور و غیاب'!$G$5:$G$205,'حضور و غیاب'!$B$5:$B$205,$A15,'حضور و غیاب'!$F$5:$F$205,"Paid",'حضور و غیاب'!$A$5:$A$205,"&gt;="&amp;'تنظیمات'!$B$5,'حضور و غیاب'!$A$5:$A$205,"&lt;="&amp;'تنظیمات'!$B$6)</x:f>
        <x:v>0</x:v>
      </x:c>
      <x:c r="G15" s="20" t="n">
        <x:f>SUMIFS('حضور و غیاب'!$L$5:$L$205,'حضور و غیاب'!$B$5:$B$205,$A15,'حضور و غیاب'!$A$5:$A$205,"&gt;="&amp;'تنظیمات'!$B$5,'حضور و غیاب'!$A$5:$A$205,"&lt;="&amp;'تنظیمات'!$B$6)</x:f>
        <x:v>0</x:v>
      </x:c>
      <x:c r="H15" s="21" t="n">
        <x:f>ROUND(C15*D15,2)</x:f>
        <x:v>0</x:v>
      </x:c>
      <x:c r="I15" s="21" t="n">
        <x:f>ROUND(C15*E15*'تنظیمات'!$B$7,2)</x:f>
        <x:v>0</x:v>
      </x:c>
      <x:c r="J15" s="21" t="n">
        <x:f>ROUND(C15*F15,2)</x:f>
        <x:v>0</x:v>
      </x:c>
      <x:c r="K15" s="21" t="n">
        <x:f>ROUND((H15+I15+J15)*'تنظیمات'!$B$8,2)</x:f>
        <x:v>0</x:v>
      </x:c>
      <x:c r="L15" s="21" t="n">
        <x:f>SUM(H15:K15)</x:f>
        <x:v>0</x:v>
      </x:c>
      <x:c r="M15" s="21" t="n">
        <x:f>ROUND(MAX(0,L15-'تنظیمات'!$B$9)*'تنظیمات'!$B$10,2)</x:f>
        <x:v>0</x:v>
      </x:c>
      <x:c r="N15" s="21" t="n">
        <x:f>ROUND(MAX(0,L15*12-'تنظیمات'!$B$11)/12*'تنظیمات'!$B$12,2)</x:f>
        <x:v>0</x:v>
      </x:c>
      <x:c r="O15" s="21" t="n">
        <x:f>ROUND(L15*'تنظیمات'!$B$13,2)</x:f>
        <x:v>0</x:v>
      </x:c>
      <x:c r="P15" s="21" t="n">
        <x:f>ROUND((MIN(L15*12,'تنظیمات'!$B$17)*'تنظیمات'!$B$18+MAX(0,MIN(L15*12,'تنظیمات'!$B$19)-'تنظیمات'!$B$17)*'تنظیمات'!$B$20)/12,2)</x:f>
        <x:v>0</x:v>
      </x:c>
      <x:c r="Q15" s="21" t="n">
        <x:f>ROUND(MIN(L15*12,'تنظیمات'!$B$21)*'تنظیمات'!$B$22/12,2)</x:f>
        <x:v>0</x:v>
      </x:c>
      <x:c r="R15" s="21" t="n">
        <x:f>ROUND(MIN('تنظیمات'!$B$16,MAX(0,L15*12-'تنظیمات'!$B$14)*'تنظیمات'!$B$15)/12,2)</x:f>
        <x:v>0</x:v>
      </x:c>
      <x:c r="S15" s="21" t="n">
        <x:f>SUM(M15:R15)</x:f>
        <x:v>0</x:v>
      </x:c>
      <x:c r="T15" s="21" t="n">
        <x:f>L15-S15</x:f>
        <x:v>0</x:v>
      </x:c>
      <x:c r="U15" s="22" t="n">
        <x:f>'تنظیمات'!$B$5</x:f>
        <x:v>46266</x:v>
      </x:c>
      <x:c r="V15" s="22" t="n">
        <x:f>'تنظیمات'!$B$6</x:f>
        <x:v>46295</x:v>
      </x:c>
      <x:c r="W15" s="17" t="str">
        <x:f>IF(AND(A15&lt;&gt;"",T15&gt;=0),"OK","بررسی شود")</x:f>
        <x:v>بررسی شود</x:v>
      </x:c>
    </x:row>
    <x:row r="16">
      <x:c r="A16" s="13"/>
      <x:c r="B16" s="17" t="str">
        <x:f>IFERROR(VLOOKUP(A16,'کارمندان'!$A$5:$H$205,2,FALSE),"")</x:f>
      </x:c>
      <x:c r="C16" s="21" t="str">
        <x:f>IFERROR(VLOOKUP(A16,'کارمندان'!$A$5:$H$205,5,FALSE),0)</x:f>
      </x:c>
      <x:c r="D16" s="20" t="n">
        <x:f>SUMIFS('حضور و غیاب'!$J$5:$J$205,'حضور و غیاب'!$B$5:$B$205,$A16,'حضور و غیاب'!$A$5:$A$205,"&gt;="&amp;'تنظیمات'!$B$5,'حضور و غیاب'!$A$5:$A$205,"&lt;="&amp;'تنظیمات'!$B$6)</x:f>
        <x:v>0</x:v>
      </x:c>
      <x:c r="E16" s="20" t="n">
        <x:f>SUMIFS('حضور و غیاب'!$K$5:$K$205,'حضور و غیاب'!$B$5:$B$205,$A16,'حضور و غیاب'!$A$5:$A$205,"&gt;="&amp;'تنظیمات'!$B$5,'حضور و غیاب'!$A$5:$A$205,"&lt;="&amp;'تنظیمات'!$B$6)</x:f>
        <x:v>0</x:v>
      </x:c>
      <x:c r="F16" s="20" t="n">
        <x:f>SUMIFS('حضور و غیاب'!$G$5:$G$205,'حضور و غیاب'!$B$5:$B$205,$A16,'حضور و غیاب'!$F$5:$F$205,"Paid",'حضور و غیاب'!$A$5:$A$205,"&gt;="&amp;'تنظیمات'!$B$5,'حضور و غیاب'!$A$5:$A$205,"&lt;="&amp;'تنظیمات'!$B$6)</x:f>
        <x:v>0</x:v>
      </x:c>
      <x:c r="G16" s="20" t="n">
        <x:f>SUMIFS('حضور و غیاب'!$L$5:$L$205,'حضور و غیاب'!$B$5:$B$205,$A16,'حضور و غیاب'!$A$5:$A$205,"&gt;="&amp;'تنظیمات'!$B$5,'حضور و غیاب'!$A$5:$A$205,"&lt;="&amp;'تنظیمات'!$B$6)</x:f>
        <x:v>0</x:v>
      </x:c>
      <x:c r="H16" s="21" t="n">
        <x:f>ROUND(C16*D16,2)</x:f>
        <x:v>0</x:v>
      </x:c>
      <x:c r="I16" s="21" t="n">
        <x:f>ROUND(C16*E16*'تنظیمات'!$B$7,2)</x:f>
        <x:v>0</x:v>
      </x:c>
      <x:c r="J16" s="21" t="n">
        <x:f>ROUND(C16*F16,2)</x:f>
        <x:v>0</x:v>
      </x:c>
      <x:c r="K16" s="21" t="n">
        <x:f>ROUND((H16+I16+J16)*'تنظیمات'!$B$8,2)</x:f>
        <x:v>0</x:v>
      </x:c>
      <x:c r="L16" s="21" t="n">
        <x:f>SUM(H16:K16)</x:f>
        <x:v>0</x:v>
      </x:c>
      <x:c r="M16" s="21" t="n">
        <x:f>ROUND(MAX(0,L16-'تنظیمات'!$B$9)*'تنظیمات'!$B$10,2)</x:f>
        <x:v>0</x:v>
      </x:c>
      <x:c r="N16" s="21" t="n">
        <x:f>ROUND(MAX(0,L16*12-'تنظیمات'!$B$11)/12*'تنظیمات'!$B$12,2)</x:f>
        <x:v>0</x:v>
      </x:c>
      <x:c r="O16" s="21" t="n">
        <x:f>ROUND(L16*'تنظیمات'!$B$13,2)</x:f>
        <x:v>0</x:v>
      </x:c>
      <x:c r="P16" s="21" t="n">
        <x:f>ROUND((MIN(L16*12,'تنظیمات'!$B$17)*'تنظیمات'!$B$18+MAX(0,MIN(L16*12,'تنظیمات'!$B$19)-'تنظیمات'!$B$17)*'تنظیمات'!$B$20)/12,2)</x:f>
        <x:v>0</x:v>
      </x:c>
      <x:c r="Q16" s="21" t="n">
        <x:f>ROUND(MIN(L16*12,'تنظیمات'!$B$21)*'تنظیمات'!$B$22/12,2)</x:f>
        <x:v>0</x:v>
      </x:c>
      <x:c r="R16" s="21" t="n">
        <x:f>ROUND(MIN('تنظیمات'!$B$16,MAX(0,L16*12-'تنظیمات'!$B$14)*'تنظیمات'!$B$15)/12,2)</x:f>
        <x:v>0</x:v>
      </x:c>
      <x:c r="S16" s="21" t="n">
        <x:f>SUM(M16:R16)</x:f>
        <x:v>0</x:v>
      </x:c>
      <x:c r="T16" s="21" t="n">
        <x:f>L16-S16</x:f>
        <x:v>0</x:v>
      </x:c>
      <x:c r="U16" s="22" t="n">
        <x:f>'تنظیمات'!$B$5</x:f>
        <x:v>46266</x:v>
      </x:c>
      <x:c r="V16" s="22" t="n">
        <x:f>'تنظیمات'!$B$6</x:f>
        <x:v>46295</x:v>
      </x:c>
      <x:c r="W16" s="17" t="str">
        <x:f>IF(AND(A16&lt;&gt;"",T16&gt;=0),"OK","بررسی شود")</x:f>
        <x:v>بررسی شود</x:v>
      </x:c>
    </x:row>
    <x:row r="17">
      <x:c r="A17" s="13"/>
      <x:c r="B17" s="17" t="str">
        <x:f>IFERROR(VLOOKUP(A17,'کارمندان'!$A$5:$H$205,2,FALSE),"")</x:f>
      </x:c>
      <x:c r="C17" s="21" t="str">
        <x:f>IFERROR(VLOOKUP(A17,'کارمندان'!$A$5:$H$205,5,FALSE),0)</x:f>
      </x:c>
      <x:c r="D17" s="20" t="n">
        <x:f>SUMIFS('حضور و غیاب'!$J$5:$J$205,'حضور و غیاب'!$B$5:$B$205,$A17,'حضور و غیاب'!$A$5:$A$205,"&gt;="&amp;'تنظیمات'!$B$5,'حضور و غیاب'!$A$5:$A$205,"&lt;="&amp;'تنظیمات'!$B$6)</x:f>
        <x:v>0</x:v>
      </x:c>
      <x:c r="E17" s="20" t="n">
        <x:f>SUMIFS('حضور و غیاب'!$K$5:$K$205,'حضور و غیاب'!$B$5:$B$205,$A17,'حضور و غیاب'!$A$5:$A$205,"&gt;="&amp;'تنظیمات'!$B$5,'حضور و غیاب'!$A$5:$A$205,"&lt;="&amp;'تنظیمات'!$B$6)</x:f>
        <x:v>0</x:v>
      </x:c>
      <x:c r="F17" s="20" t="n">
        <x:f>SUMIFS('حضور و غیاب'!$G$5:$G$205,'حضور و غیاب'!$B$5:$B$205,$A17,'حضور و غیاب'!$F$5:$F$205,"Paid",'حضور و غیاب'!$A$5:$A$205,"&gt;="&amp;'تنظیمات'!$B$5,'حضور و غیاب'!$A$5:$A$205,"&lt;="&amp;'تنظیمات'!$B$6)</x:f>
        <x:v>0</x:v>
      </x:c>
      <x:c r="G17" s="20" t="n">
        <x:f>SUMIFS('حضور و غیاب'!$L$5:$L$205,'حضور و غیاب'!$B$5:$B$205,$A17,'حضور و غیاب'!$A$5:$A$205,"&gt;="&amp;'تنظیمات'!$B$5,'حضور و غیاب'!$A$5:$A$205,"&lt;="&amp;'تنظیمات'!$B$6)</x:f>
        <x:v>0</x:v>
      </x:c>
      <x:c r="H17" s="21" t="n">
        <x:f>ROUND(C17*D17,2)</x:f>
        <x:v>0</x:v>
      </x:c>
      <x:c r="I17" s="21" t="n">
        <x:f>ROUND(C17*E17*'تنظیمات'!$B$7,2)</x:f>
        <x:v>0</x:v>
      </x:c>
      <x:c r="J17" s="21" t="n">
        <x:f>ROUND(C17*F17,2)</x:f>
        <x:v>0</x:v>
      </x:c>
      <x:c r="K17" s="21" t="n">
        <x:f>ROUND((H17+I17+J17)*'تنظیمات'!$B$8,2)</x:f>
        <x:v>0</x:v>
      </x:c>
      <x:c r="L17" s="21" t="n">
        <x:f>SUM(H17:K17)</x:f>
        <x:v>0</x:v>
      </x:c>
      <x:c r="M17" s="21" t="n">
        <x:f>ROUND(MAX(0,L17-'تنظیمات'!$B$9)*'تنظیمات'!$B$10,2)</x:f>
        <x:v>0</x:v>
      </x:c>
      <x:c r="N17" s="21" t="n">
        <x:f>ROUND(MAX(0,L17*12-'تنظیمات'!$B$11)/12*'تنظیمات'!$B$12,2)</x:f>
        <x:v>0</x:v>
      </x:c>
      <x:c r="O17" s="21" t="n">
        <x:f>ROUND(L17*'تنظیمات'!$B$13,2)</x:f>
        <x:v>0</x:v>
      </x:c>
      <x:c r="P17" s="21" t="n">
        <x:f>ROUND((MIN(L17*12,'تنظیمات'!$B$17)*'تنظیمات'!$B$18+MAX(0,MIN(L17*12,'تنظیمات'!$B$19)-'تنظیمات'!$B$17)*'تنظیمات'!$B$20)/12,2)</x:f>
        <x:v>0</x:v>
      </x:c>
      <x:c r="Q17" s="21" t="n">
        <x:f>ROUND(MIN(L17*12,'تنظیمات'!$B$21)*'تنظیمات'!$B$22/12,2)</x:f>
        <x:v>0</x:v>
      </x:c>
      <x:c r="R17" s="21" t="n">
        <x:f>ROUND(MIN('تنظیمات'!$B$16,MAX(0,L17*12-'تنظیمات'!$B$14)*'تنظیمات'!$B$15)/12,2)</x:f>
        <x:v>0</x:v>
      </x:c>
      <x:c r="S17" s="21" t="n">
        <x:f>SUM(M17:R17)</x:f>
        <x:v>0</x:v>
      </x:c>
      <x:c r="T17" s="21" t="n">
        <x:f>L17-S17</x:f>
        <x:v>0</x:v>
      </x:c>
      <x:c r="U17" s="22" t="n">
        <x:f>'تنظیمات'!$B$5</x:f>
        <x:v>46266</x:v>
      </x:c>
      <x:c r="V17" s="22" t="n">
        <x:f>'تنظیمات'!$B$6</x:f>
        <x:v>46295</x:v>
      </x:c>
      <x:c r="W17" s="17" t="str">
        <x:f>IF(AND(A17&lt;&gt;"",T17&gt;=0),"OK","بررسی شود")</x:f>
        <x:v>بررسی شود</x:v>
      </x:c>
    </x:row>
    <x:row r="18">
      <x:c r="A18" s="13"/>
      <x:c r="B18" s="17" t="str">
        <x:f>IFERROR(VLOOKUP(A18,'کارمندان'!$A$5:$H$205,2,FALSE),"")</x:f>
      </x:c>
      <x:c r="C18" s="21" t="str">
        <x:f>IFERROR(VLOOKUP(A18,'کارمندان'!$A$5:$H$205,5,FALSE),0)</x:f>
      </x:c>
      <x:c r="D18" s="20" t="n">
        <x:f>SUMIFS('حضور و غیاب'!$J$5:$J$205,'حضور و غیاب'!$B$5:$B$205,$A18,'حضور و غیاب'!$A$5:$A$205,"&gt;="&amp;'تنظیمات'!$B$5,'حضور و غیاب'!$A$5:$A$205,"&lt;="&amp;'تنظیمات'!$B$6)</x:f>
        <x:v>0</x:v>
      </x:c>
      <x:c r="E18" s="20" t="n">
        <x:f>SUMIFS('حضور و غیاب'!$K$5:$K$205,'حضور و غیاب'!$B$5:$B$205,$A18,'حضور و غیاب'!$A$5:$A$205,"&gt;="&amp;'تنظیمات'!$B$5,'حضور و غیاب'!$A$5:$A$205,"&lt;="&amp;'تنظیمات'!$B$6)</x:f>
        <x:v>0</x:v>
      </x:c>
      <x:c r="F18" s="20" t="n">
        <x:f>SUMIFS('حضور و غیاب'!$G$5:$G$205,'حضور و غیاب'!$B$5:$B$205,$A18,'حضور و غیاب'!$F$5:$F$205,"Paid",'حضور و غیاب'!$A$5:$A$205,"&gt;="&amp;'تنظیمات'!$B$5,'حضور و غیاب'!$A$5:$A$205,"&lt;="&amp;'تنظیمات'!$B$6)</x:f>
        <x:v>0</x:v>
      </x:c>
      <x:c r="G18" s="20" t="n">
        <x:f>SUMIFS('حضور و غیاب'!$L$5:$L$205,'حضور و غیاب'!$B$5:$B$205,$A18,'حضور و غیاب'!$A$5:$A$205,"&gt;="&amp;'تنظیمات'!$B$5,'حضور و غیاب'!$A$5:$A$205,"&lt;="&amp;'تنظیمات'!$B$6)</x:f>
        <x:v>0</x:v>
      </x:c>
      <x:c r="H18" s="21" t="n">
        <x:f>ROUND(C18*D18,2)</x:f>
        <x:v>0</x:v>
      </x:c>
      <x:c r="I18" s="21" t="n">
        <x:f>ROUND(C18*E18*'تنظیمات'!$B$7,2)</x:f>
        <x:v>0</x:v>
      </x:c>
      <x:c r="J18" s="21" t="n">
        <x:f>ROUND(C18*F18,2)</x:f>
        <x:v>0</x:v>
      </x:c>
      <x:c r="K18" s="21" t="n">
        <x:f>ROUND((H18+I18+J18)*'تنظیمات'!$B$8,2)</x:f>
        <x:v>0</x:v>
      </x:c>
      <x:c r="L18" s="21" t="n">
        <x:f>SUM(H18:K18)</x:f>
        <x:v>0</x:v>
      </x:c>
      <x:c r="M18" s="21" t="n">
        <x:f>ROUND(MAX(0,L18-'تنظیمات'!$B$9)*'تنظیمات'!$B$10,2)</x:f>
        <x:v>0</x:v>
      </x:c>
      <x:c r="N18" s="21" t="n">
        <x:f>ROUND(MAX(0,L18*12-'تنظیمات'!$B$11)/12*'تنظیمات'!$B$12,2)</x:f>
        <x:v>0</x:v>
      </x:c>
      <x:c r="O18" s="21" t="n">
        <x:f>ROUND(L18*'تنظیمات'!$B$13,2)</x:f>
        <x:v>0</x:v>
      </x:c>
      <x:c r="P18" s="21" t="n">
        <x:f>ROUND((MIN(L18*12,'تنظیمات'!$B$17)*'تنظیمات'!$B$18+MAX(0,MIN(L18*12,'تنظیمات'!$B$19)-'تنظیمات'!$B$17)*'تنظیمات'!$B$20)/12,2)</x:f>
        <x:v>0</x:v>
      </x:c>
      <x:c r="Q18" s="21" t="n">
        <x:f>ROUND(MIN(L18*12,'تنظیمات'!$B$21)*'تنظیمات'!$B$22/12,2)</x:f>
        <x:v>0</x:v>
      </x:c>
      <x:c r="R18" s="21" t="n">
        <x:f>ROUND(MIN('تنظیمات'!$B$16,MAX(0,L18*12-'تنظیمات'!$B$14)*'تنظیمات'!$B$15)/12,2)</x:f>
        <x:v>0</x:v>
      </x:c>
      <x:c r="S18" s="21" t="n">
        <x:f>SUM(M18:R18)</x:f>
        <x:v>0</x:v>
      </x:c>
      <x:c r="T18" s="21" t="n">
        <x:f>L18-S18</x:f>
        <x:v>0</x:v>
      </x:c>
      <x:c r="U18" s="22" t="n">
        <x:f>'تنظیمات'!$B$5</x:f>
        <x:v>46266</x:v>
      </x:c>
      <x:c r="V18" s="22" t="n">
        <x:f>'تنظیمات'!$B$6</x:f>
        <x:v>46295</x:v>
      </x:c>
      <x:c r="W18" s="17" t="str">
        <x:f>IF(AND(A18&lt;&gt;"",T18&gt;=0),"OK","بررسی شود")</x:f>
        <x:v>بررسی شود</x:v>
      </x:c>
    </x:row>
    <x:row r="19">
      <x:c r="A19" s="13"/>
      <x:c r="B19" s="17" t="str">
        <x:f>IFERROR(VLOOKUP(A19,'کارمندان'!$A$5:$H$205,2,FALSE),"")</x:f>
      </x:c>
      <x:c r="C19" s="21" t="str">
        <x:f>IFERROR(VLOOKUP(A19,'کارمندان'!$A$5:$H$205,5,FALSE),0)</x:f>
      </x:c>
      <x:c r="D19" s="20" t="n">
        <x:f>SUMIFS('حضور و غیاب'!$J$5:$J$205,'حضور و غیاب'!$B$5:$B$205,$A19,'حضور و غیاب'!$A$5:$A$205,"&gt;="&amp;'تنظیمات'!$B$5,'حضور و غیاب'!$A$5:$A$205,"&lt;="&amp;'تنظیمات'!$B$6)</x:f>
        <x:v>0</x:v>
      </x:c>
      <x:c r="E19" s="20" t="n">
        <x:f>SUMIFS('حضور و غیاب'!$K$5:$K$205,'حضور و غیاب'!$B$5:$B$205,$A19,'حضور و غیاب'!$A$5:$A$205,"&gt;="&amp;'تنظیمات'!$B$5,'حضور و غیاب'!$A$5:$A$205,"&lt;="&amp;'تنظیمات'!$B$6)</x:f>
        <x:v>0</x:v>
      </x:c>
      <x:c r="F19" s="20" t="n">
        <x:f>SUMIFS('حضور و غیاب'!$G$5:$G$205,'حضور و غیاب'!$B$5:$B$205,$A19,'حضور و غیاب'!$F$5:$F$205,"Paid",'حضور و غیاب'!$A$5:$A$205,"&gt;="&amp;'تنظیمات'!$B$5,'حضور و غیاب'!$A$5:$A$205,"&lt;="&amp;'تنظیمات'!$B$6)</x:f>
        <x:v>0</x:v>
      </x:c>
      <x:c r="G19" s="20" t="n">
        <x:f>SUMIFS('حضور و غیاب'!$L$5:$L$205,'حضور و غیاب'!$B$5:$B$205,$A19,'حضور و غیاب'!$A$5:$A$205,"&gt;="&amp;'تنظیمات'!$B$5,'حضور و غیاب'!$A$5:$A$205,"&lt;="&amp;'تنظیمات'!$B$6)</x:f>
        <x:v>0</x:v>
      </x:c>
      <x:c r="H19" s="21" t="n">
        <x:f>ROUND(C19*D19,2)</x:f>
        <x:v>0</x:v>
      </x:c>
      <x:c r="I19" s="21" t="n">
        <x:f>ROUND(C19*E19*'تنظیمات'!$B$7,2)</x:f>
        <x:v>0</x:v>
      </x:c>
      <x:c r="J19" s="21" t="n">
        <x:f>ROUND(C19*F19,2)</x:f>
        <x:v>0</x:v>
      </x:c>
      <x:c r="K19" s="21" t="n">
        <x:f>ROUND((H19+I19+J19)*'تنظیمات'!$B$8,2)</x:f>
        <x:v>0</x:v>
      </x:c>
      <x:c r="L19" s="21" t="n">
        <x:f>SUM(H19:K19)</x:f>
        <x:v>0</x:v>
      </x:c>
      <x:c r="M19" s="21" t="n">
        <x:f>ROUND(MAX(0,L19-'تنظیمات'!$B$9)*'تنظیمات'!$B$10,2)</x:f>
        <x:v>0</x:v>
      </x:c>
      <x:c r="N19" s="21" t="n">
        <x:f>ROUND(MAX(0,L19*12-'تنظیمات'!$B$11)/12*'تنظیمات'!$B$12,2)</x:f>
        <x:v>0</x:v>
      </x:c>
      <x:c r="O19" s="21" t="n">
        <x:f>ROUND(L19*'تنظیمات'!$B$13,2)</x:f>
        <x:v>0</x:v>
      </x:c>
      <x:c r="P19" s="21" t="n">
        <x:f>ROUND((MIN(L19*12,'تنظیمات'!$B$17)*'تنظیمات'!$B$18+MAX(0,MIN(L19*12,'تنظیمات'!$B$19)-'تنظیمات'!$B$17)*'تنظیمات'!$B$20)/12,2)</x:f>
        <x:v>0</x:v>
      </x:c>
      <x:c r="Q19" s="21" t="n">
        <x:f>ROUND(MIN(L19*12,'تنظیمات'!$B$21)*'تنظیمات'!$B$22/12,2)</x:f>
        <x:v>0</x:v>
      </x:c>
      <x:c r="R19" s="21" t="n">
        <x:f>ROUND(MIN('تنظیمات'!$B$16,MAX(0,L19*12-'تنظیمات'!$B$14)*'تنظیمات'!$B$15)/12,2)</x:f>
        <x:v>0</x:v>
      </x:c>
      <x:c r="S19" s="21" t="n">
        <x:f>SUM(M19:R19)</x:f>
        <x:v>0</x:v>
      </x:c>
      <x:c r="T19" s="21" t="n">
        <x:f>L19-S19</x:f>
        <x:v>0</x:v>
      </x:c>
      <x:c r="U19" s="22" t="n">
        <x:f>'تنظیمات'!$B$5</x:f>
        <x:v>46266</x:v>
      </x:c>
      <x:c r="V19" s="22" t="n">
        <x:f>'تنظیمات'!$B$6</x:f>
        <x:v>46295</x:v>
      </x:c>
      <x:c r="W19" s="17" t="str">
        <x:f>IF(AND(A19&lt;&gt;"",T19&gt;=0),"OK","بررسی شود")</x:f>
        <x:v>بررسی شود</x:v>
      </x:c>
    </x:row>
    <x:row r="20">
      <x:c r="A20" s="13"/>
      <x:c r="B20" s="17" t="str">
        <x:f>IFERROR(VLOOKUP(A20,'کارمندان'!$A$5:$H$205,2,FALSE),"")</x:f>
      </x:c>
      <x:c r="C20" s="21" t="str">
        <x:f>IFERROR(VLOOKUP(A20,'کارمندان'!$A$5:$H$205,5,FALSE),0)</x:f>
      </x:c>
      <x:c r="D20" s="20" t="n">
        <x:f>SUMIFS('حضور و غیاب'!$J$5:$J$205,'حضور و غیاب'!$B$5:$B$205,$A20,'حضور و غیاب'!$A$5:$A$205,"&gt;="&amp;'تنظیمات'!$B$5,'حضور و غیاب'!$A$5:$A$205,"&lt;="&amp;'تنظیمات'!$B$6)</x:f>
        <x:v>0</x:v>
      </x:c>
      <x:c r="E20" s="20" t="n">
        <x:f>SUMIFS('حضور و غیاب'!$K$5:$K$205,'حضور و غیاب'!$B$5:$B$205,$A20,'حضور و غیاب'!$A$5:$A$205,"&gt;="&amp;'تنظیمات'!$B$5,'حضور و غیاب'!$A$5:$A$205,"&lt;="&amp;'تنظیمات'!$B$6)</x:f>
        <x:v>0</x:v>
      </x:c>
      <x:c r="F20" s="20" t="n">
        <x:f>SUMIFS('حضور و غیاب'!$G$5:$G$205,'حضور و غیاب'!$B$5:$B$205,$A20,'حضور و غیاب'!$F$5:$F$205,"Paid",'حضور و غیاب'!$A$5:$A$205,"&gt;="&amp;'تنظیمات'!$B$5,'حضور و غیاب'!$A$5:$A$205,"&lt;="&amp;'تنظیمات'!$B$6)</x:f>
        <x:v>0</x:v>
      </x:c>
      <x:c r="G20" s="20" t="n">
        <x:f>SUMIFS('حضور و غیاب'!$L$5:$L$205,'حضور و غیاب'!$B$5:$B$205,$A20,'حضور و غیاب'!$A$5:$A$205,"&gt;="&amp;'تنظیمات'!$B$5,'حضور و غیاب'!$A$5:$A$205,"&lt;="&amp;'تنظیمات'!$B$6)</x:f>
        <x:v>0</x:v>
      </x:c>
      <x:c r="H20" s="21" t="n">
        <x:f>ROUND(C20*D20,2)</x:f>
        <x:v>0</x:v>
      </x:c>
      <x:c r="I20" s="21" t="n">
        <x:f>ROUND(C20*E20*'تنظیمات'!$B$7,2)</x:f>
        <x:v>0</x:v>
      </x:c>
      <x:c r="J20" s="21" t="n">
        <x:f>ROUND(C20*F20,2)</x:f>
        <x:v>0</x:v>
      </x:c>
      <x:c r="K20" s="21" t="n">
        <x:f>ROUND((H20+I20+J20)*'تنظیمات'!$B$8,2)</x:f>
        <x:v>0</x:v>
      </x:c>
      <x:c r="L20" s="21" t="n">
        <x:f>SUM(H20:K20)</x:f>
        <x:v>0</x:v>
      </x:c>
      <x:c r="M20" s="21" t="n">
        <x:f>ROUND(MAX(0,L20-'تنظیمات'!$B$9)*'تنظیمات'!$B$10,2)</x:f>
        <x:v>0</x:v>
      </x:c>
      <x:c r="N20" s="21" t="n">
        <x:f>ROUND(MAX(0,L20*12-'تنظیمات'!$B$11)/12*'تنظیمات'!$B$12,2)</x:f>
        <x:v>0</x:v>
      </x:c>
      <x:c r="O20" s="21" t="n">
        <x:f>ROUND(L20*'تنظیمات'!$B$13,2)</x:f>
        <x:v>0</x:v>
      </x:c>
      <x:c r="P20" s="21" t="n">
        <x:f>ROUND((MIN(L20*12,'تنظیمات'!$B$17)*'تنظیمات'!$B$18+MAX(0,MIN(L20*12,'تنظیمات'!$B$19)-'تنظیمات'!$B$17)*'تنظیمات'!$B$20)/12,2)</x:f>
        <x:v>0</x:v>
      </x:c>
      <x:c r="Q20" s="21" t="n">
        <x:f>ROUND(MIN(L20*12,'تنظیمات'!$B$21)*'تنظیمات'!$B$22/12,2)</x:f>
        <x:v>0</x:v>
      </x:c>
      <x:c r="R20" s="21" t="n">
        <x:f>ROUND(MIN('تنظیمات'!$B$16,MAX(0,L20*12-'تنظیمات'!$B$14)*'تنظیمات'!$B$15)/12,2)</x:f>
        <x:v>0</x:v>
      </x:c>
      <x:c r="S20" s="21" t="n">
        <x:f>SUM(M20:R20)</x:f>
        <x:v>0</x:v>
      </x:c>
      <x:c r="T20" s="21" t="n">
        <x:f>L20-S20</x:f>
        <x:v>0</x:v>
      </x:c>
      <x:c r="U20" s="22" t="n">
        <x:f>'تنظیمات'!$B$5</x:f>
        <x:v>46266</x:v>
      </x:c>
      <x:c r="V20" s="22" t="n">
        <x:f>'تنظیمات'!$B$6</x:f>
        <x:v>46295</x:v>
      </x:c>
      <x:c r="W20" s="17" t="str">
        <x:f>IF(AND(A20&lt;&gt;"",T20&gt;=0),"OK","بررسی شود")</x:f>
        <x:v>بررسی شود</x:v>
      </x:c>
    </x:row>
    <x:row r="21">
      <x:c r="A21" s="13"/>
      <x:c r="B21" s="17" t="str">
        <x:f>IFERROR(VLOOKUP(A21,'کارمندان'!$A$5:$H$205,2,FALSE),"")</x:f>
      </x:c>
      <x:c r="C21" s="21" t="str">
        <x:f>IFERROR(VLOOKUP(A21,'کارمندان'!$A$5:$H$205,5,FALSE),0)</x:f>
      </x:c>
      <x:c r="D21" s="20" t="n">
        <x:f>SUMIFS('حضور و غیاب'!$J$5:$J$205,'حضور و غیاب'!$B$5:$B$205,$A21,'حضور و غیاب'!$A$5:$A$205,"&gt;="&amp;'تنظیمات'!$B$5,'حضور و غیاب'!$A$5:$A$205,"&lt;="&amp;'تنظیمات'!$B$6)</x:f>
        <x:v>0</x:v>
      </x:c>
      <x:c r="E21" s="20" t="n">
        <x:f>SUMIFS('حضور و غیاب'!$K$5:$K$205,'حضور و غیاب'!$B$5:$B$205,$A21,'حضور و غیاب'!$A$5:$A$205,"&gt;="&amp;'تنظیمات'!$B$5,'حضور و غیاب'!$A$5:$A$205,"&lt;="&amp;'تنظیمات'!$B$6)</x:f>
        <x:v>0</x:v>
      </x:c>
      <x:c r="F21" s="20" t="n">
        <x:f>SUMIFS('حضور و غیاب'!$G$5:$G$205,'حضور و غیاب'!$B$5:$B$205,$A21,'حضور و غیاب'!$F$5:$F$205,"Paid",'حضور و غیاب'!$A$5:$A$205,"&gt;="&amp;'تنظیمات'!$B$5,'حضور و غیاب'!$A$5:$A$205,"&lt;="&amp;'تنظیمات'!$B$6)</x:f>
        <x:v>0</x:v>
      </x:c>
      <x:c r="G21" s="20" t="n">
        <x:f>SUMIFS('حضور و غیاب'!$L$5:$L$205,'حضور و غیاب'!$B$5:$B$205,$A21,'حضور و غیاب'!$A$5:$A$205,"&gt;="&amp;'تنظیمات'!$B$5,'حضور و غیاب'!$A$5:$A$205,"&lt;="&amp;'تنظیمات'!$B$6)</x:f>
        <x:v>0</x:v>
      </x:c>
      <x:c r="H21" s="21" t="n">
        <x:f>ROUND(C21*D21,2)</x:f>
        <x:v>0</x:v>
      </x:c>
      <x:c r="I21" s="21" t="n">
        <x:f>ROUND(C21*E21*'تنظیمات'!$B$7,2)</x:f>
        <x:v>0</x:v>
      </x:c>
      <x:c r="J21" s="21" t="n">
        <x:f>ROUND(C21*F21,2)</x:f>
        <x:v>0</x:v>
      </x:c>
      <x:c r="K21" s="21" t="n">
        <x:f>ROUND((H21+I21+J21)*'تنظیمات'!$B$8,2)</x:f>
        <x:v>0</x:v>
      </x:c>
      <x:c r="L21" s="21" t="n">
        <x:f>SUM(H21:K21)</x:f>
        <x:v>0</x:v>
      </x:c>
      <x:c r="M21" s="21" t="n">
        <x:f>ROUND(MAX(0,L21-'تنظیمات'!$B$9)*'تنظیمات'!$B$10,2)</x:f>
        <x:v>0</x:v>
      </x:c>
      <x:c r="N21" s="21" t="n">
        <x:f>ROUND(MAX(0,L21*12-'تنظیمات'!$B$11)/12*'تنظیمات'!$B$12,2)</x:f>
        <x:v>0</x:v>
      </x:c>
      <x:c r="O21" s="21" t="n">
        <x:f>ROUND(L21*'تنظیمات'!$B$13,2)</x:f>
        <x:v>0</x:v>
      </x:c>
      <x:c r="P21" s="21" t="n">
        <x:f>ROUND((MIN(L21*12,'تنظیمات'!$B$17)*'تنظیمات'!$B$18+MAX(0,MIN(L21*12,'تنظیمات'!$B$19)-'تنظیمات'!$B$17)*'تنظیمات'!$B$20)/12,2)</x:f>
        <x:v>0</x:v>
      </x:c>
      <x:c r="Q21" s="21" t="n">
        <x:f>ROUND(MIN(L21*12,'تنظیمات'!$B$21)*'تنظیمات'!$B$22/12,2)</x:f>
        <x:v>0</x:v>
      </x:c>
      <x:c r="R21" s="21" t="n">
        <x:f>ROUND(MIN('تنظیمات'!$B$16,MAX(0,L21*12-'تنظیمات'!$B$14)*'تنظیمات'!$B$15)/12,2)</x:f>
        <x:v>0</x:v>
      </x:c>
      <x:c r="S21" s="21" t="n">
        <x:f>SUM(M21:R21)</x:f>
        <x:v>0</x:v>
      </x:c>
      <x:c r="T21" s="21" t="n">
        <x:f>L21-S21</x:f>
        <x:v>0</x:v>
      </x:c>
      <x:c r="U21" s="22" t="n">
        <x:f>'تنظیمات'!$B$5</x:f>
        <x:v>46266</x:v>
      </x:c>
      <x:c r="V21" s="22" t="n">
        <x:f>'تنظیمات'!$B$6</x:f>
        <x:v>46295</x:v>
      </x:c>
      <x:c r="W21" s="17" t="str">
        <x:f>IF(AND(A21&lt;&gt;"",T21&gt;=0),"OK","بررسی شود")</x:f>
        <x:v>بررسی شود</x:v>
      </x:c>
    </x:row>
    <x:row r="22">
      <x:c r="A22" s="13"/>
      <x:c r="B22" s="17" t="str">
        <x:f>IFERROR(VLOOKUP(A22,'کارمندان'!$A$5:$H$205,2,FALSE),"")</x:f>
      </x:c>
      <x:c r="C22" s="21" t="str">
        <x:f>IFERROR(VLOOKUP(A22,'کارمندان'!$A$5:$H$205,5,FALSE),0)</x:f>
      </x:c>
      <x:c r="D22" s="20" t="n">
        <x:f>SUMIFS('حضور و غیاب'!$J$5:$J$205,'حضور و غیاب'!$B$5:$B$205,$A22,'حضور و غیاب'!$A$5:$A$205,"&gt;="&amp;'تنظیمات'!$B$5,'حضور و غیاب'!$A$5:$A$205,"&lt;="&amp;'تنظیمات'!$B$6)</x:f>
        <x:v>0</x:v>
      </x:c>
      <x:c r="E22" s="20" t="n">
        <x:f>SUMIFS('حضور و غیاب'!$K$5:$K$205,'حضور و غیاب'!$B$5:$B$205,$A22,'حضور و غیاب'!$A$5:$A$205,"&gt;="&amp;'تنظیمات'!$B$5,'حضور و غیاب'!$A$5:$A$205,"&lt;="&amp;'تنظیمات'!$B$6)</x:f>
        <x:v>0</x:v>
      </x:c>
      <x:c r="F22" s="20" t="n">
        <x:f>SUMIFS('حضور و غیاب'!$G$5:$G$205,'حضور و غیاب'!$B$5:$B$205,$A22,'حضور و غیاب'!$F$5:$F$205,"Paid",'حضور و غیاب'!$A$5:$A$205,"&gt;="&amp;'تنظیمات'!$B$5,'حضور و غیاب'!$A$5:$A$205,"&lt;="&amp;'تنظیمات'!$B$6)</x:f>
        <x:v>0</x:v>
      </x:c>
      <x:c r="G22" s="20" t="n">
        <x:f>SUMIFS('حضور و غیاب'!$L$5:$L$205,'حضور و غیاب'!$B$5:$B$205,$A22,'حضور و غیاب'!$A$5:$A$205,"&gt;="&amp;'تنظیمات'!$B$5,'حضور و غیاب'!$A$5:$A$205,"&lt;="&amp;'تنظیمات'!$B$6)</x:f>
        <x:v>0</x:v>
      </x:c>
      <x:c r="H22" s="21" t="n">
        <x:f>ROUND(C22*D22,2)</x:f>
        <x:v>0</x:v>
      </x:c>
      <x:c r="I22" s="21" t="n">
        <x:f>ROUND(C22*E22*'تنظیمات'!$B$7,2)</x:f>
        <x:v>0</x:v>
      </x:c>
      <x:c r="J22" s="21" t="n">
        <x:f>ROUND(C22*F22,2)</x:f>
        <x:v>0</x:v>
      </x:c>
      <x:c r="K22" s="21" t="n">
        <x:f>ROUND((H22+I22+J22)*'تنظیمات'!$B$8,2)</x:f>
        <x:v>0</x:v>
      </x:c>
      <x:c r="L22" s="21" t="n">
        <x:f>SUM(H22:K22)</x:f>
        <x:v>0</x:v>
      </x:c>
      <x:c r="M22" s="21" t="n">
        <x:f>ROUND(MAX(0,L22-'تنظیمات'!$B$9)*'تنظیمات'!$B$10,2)</x:f>
        <x:v>0</x:v>
      </x:c>
      <x:c r="N22" s="21" t="n">
        <x:f>ROUND(MAX(0,L22*12-'تنظیمات'!$B$11)/12*'تنظیمات'!$B$12,2)</x:f>
        <x:v>0</x:v>
      </x:c>
      <x:c r="O22" s="21" t="n">
        <x:f>ROUND(L22*'تنظیمات'!$B$13,2)</x:f>
        <x:v>0</x:v>
      </x:c>
      <x:c r="P22" s="21" t="n">
        <x:f>ROUND((MIN(L22*12,'تنظیمات'!$B$17)*'تنظیمات'!$B$18+MAX(0,MIN(L22*12,'تنظیمات'!$B$19)-'تنظیمات'!$B$17)*'تنظیمات'!$B$20)/12,2)</x:f>
        <x:v>0</x:v>
      </x:c>
      <x:c r="Q22" s="21" t="n">
        <x:f>ROUND(MIN(L22*12,'تنظیمات'!$B$21)*'تنظیمات'!$B$22/12,2)</x:f>
        <x:v>0</x:v>
      </x:c>
      <x:c r="R22" s="21" t="n">
        <x:f>ROUND(MIN('تنظیمات'!$B$16,MAX(0,L22*12-'تنظیمات'!$B$14)*'تنظیمات'!$B$15)/12,2)</x:f>
        <x:v>0</x:v>
      </x:c>
      <x:c r="S22" s="21" t="n">
        <x:f>SUM(M22:R22)</x:f>
        <x:v>0</x:v>
      </x:c>
      <x:c r="T22" s="21" t="n">
        <x:f>L22-S22</x:f>
        <x:v>0</x:v>
      </x:c>
      <x:c r="U22" s="22" t="n">
        <x:f>'تنظیمات'!$B$5</x:f>
        <x:v>46266</x:v>
      </x:c>
      <x:c r="V22" s="22" t="n">
        <x:f>'تنظیمات'!$B$6</x:f>
        <x:v>46295</x:v>
      </x:c>
      <x:c r="W22" s="17" t="str">
        <x:f>IF(AND(A22&lt;&gt;"",T22&gt;=0),"OK","بررسی شود")</x:f>
        <x:v>بررسی شود</x:v>
      </x:c>
    </x:row>
    <x:row r="23">
      <x:c r="A23" s="13"/>
      <x:c r="B23" s="17" t="str">
        <x:f>IFERROR(VLOOKUP(A23,'کارمندان'!$A$5:$H$205,2,FALSE),"")</x:f>
      </x:c>
      <x:c r="C23" s="21" t="str">
        <x:f>IFERROR(VLOOKUP(A23,'کارمندان'!$A$5:$H$205,5,FALSE),0)</x:f>
      </x:c>
      <x:c r="D23" s="20" t="n">
        <x:f>SUMIFS('حضور و غیاب'!$J$5:$J$205,'حضور و غیاب'!$B$5:$B$205,$A23,'حضور و غیاب'!$A$5:$A$205,"&gt;="&amp;'تنظیمات'!$B$5,'حضور و غیاب'!$A$5:$A$205,"&lt;="&amp;'تنظیمات'!$B$6)</x:f>
        <x:v>0</x:v>
      </x:c>
      <x:c r="E23" s="20" t="n">
        <x:f>SUMIFS('حضور و غیاب'!$K$5:$K$205,'حضور و غیاب'!$B$5:$B$205,$A23,'حضور و غیاب'!$A$5:$A$205,"&gt;="&amp;'تنظیمات'!$B$5,'حضور و غیاب'!$A$5:$A$205,"&lt;="&amp;'تنظیمات'!$B$6)</x:f>
        <x:v>0</x:v>
      </x:c>
      <x:c r="F23" s="20" t="n">
        <x:f>SUMIFS('حضور و غیاب'!$G$5:$G$205,'حضور و غیاب'!$B$5:$B$205,$A23,'حضور و غیاب'!$F$5:$F$205,"Paid",'حضور و غیاب'!$A$5:$A$205,"&gt;="&amp;'تنظیمات'!$B$5,'حضور و غیاب'!$A$5:$A$205,"&lt;="&amp;'تنظیمات'!$B$6)</x:f>
        <x:v>0</x:v>
      </x:c>
      <x:c r="G23" s="20" t="n">
        <x:f>SUMIFS('حضور و غیاب'!$L$5:$L$205,'حضور و غیاب'!$B$5:$B$205,$A23,'حضور و غیاب'!$A$5:$A$205,"&gt;="&amp;'تنظیمات'!$B$5,'حضور و غیاب'!$A$5:$A$205,"&lt;="&amp;'تنظیمات'!$B$6)</x:f>
        <x:v>0</x:v>
      </x:c>
      <x:c r="H23" s="21" t="n">
        <x:f>ROUND(C23*D23,2)</x:f>
        <x:v>0</x:v>
      </x:c>
      <x:c r="I23" s="21" t="n">
        <x:f>ROUND(C23*E23*'تنظیمات'!$B$7,2)</x:f>
        <x:v>0</x:v>
      </x:c>
      <x:c r="J23" s="21" t="n">
        <x:f>ROUND(C23*F23,2)</x:f>
        <x:v>0</x:v>
      </x:c>
      <x:c r="K23" s="21" t="n">
        <x:f>ROUND((H23+I23+J23)*'تنظیمات'!$B$8,2)</x:f>
        <x:v>0</x:v>
      </x:c>
      <x:c r="L23" s="21" t="n">
        <x:f>SUM(H23:K23)</x:f>
        <x:v>0</x:v>
      </x:c>
      <x:c r="M23" s="21" t="n">
        <x:f>ROUND(MAX(0,L23-'تنظیمات'!$B$9)*'تنظیمات'!$B$10,2)</x:f>
        <x:v>0</x:v>
      </x:c>
      <x:c r="N23" s="21" t="n">
        <x:f>ROUND(MAX(0,L23*12-'تنظیمات'!$B$11)/12*'تنظیمات'!$B$12,2)</x:f>
        <x:v>0</x:v>
      </x:c>
      <x:c r="O23" s="21" t="n">
        <x:f>ROUND(L23*'تنظیمات'!$B$13,2)</x:f>
        <x:v>0</x:v>
      </x:c>
      <x:c r="P23" s="21" t="n">
        <x:f>ROUND((MIN(L23*12,'تنظیمات'!$B$17)*'تنظیمات'!$B$18+MAX(0,MIN(L23*12,'تنظیمات'!$B$19)-'تنظیمات'!$B$17)*'تنظیمات'!$B$20)/12,2)</x:f>
        <x:v>0</x:v>
      </x:c>
      <x:c r="Q23" s="21" t="n">
        <x:f>ROUND(MIN(L23*12,'تنظیمات'!$B$21)*'تنظیمات'!$B$22/12,2)</x:f>
        <x:v>0</x:v>
      </x:c>
      <x:c r="R23" s="21" t="n">
        <x:f>ROUND(MIN('تنظیمات'!$B$16,MAX(0,L23*12-'تنظیمات'!$B$14)*'تنظیمات'!$B$15)/12,2)</x:f>
        <x:v>0</x:v>
      </x:c>
      <x:c r="S23" s="21" t="n">
        <x:f>SUM(M23:R23)</x:f>
        <x:v>0</x:v>
      </x:c>
      <x:c r="T23" s="21" t="n">
        <x:f>L23-S23</x:f>
        <x:v>0</x:v>
      </x:c>
      <x:c r="U23" s="22" t="n">
        <x:f>'تنظیمات'!$B$5</x:f>
        <x:v>46266</x:v>
      </x:c>
      <x:c r="V23" s="22" t="n">
        <x:f>'تنظیمات'!$B$6</x:f>
        <x:v>46295</x:v>
      </x:c>
      <x:c r="W23" s="17" t="str">
        <x:f>IF(AND(A23&lt;&gt;"",T23&gt;=0),"OK","بررسی شود")</x:f>
        <x:v>بررسی شود</x:v>
      </x:c>
    </x:row>
    <x:row r="24">
      <x:c r="A24" s="13"/>
      <x:c r="B24" s="17" t="str">
        <x:f>IFERROR(VLOOKUP(A24,'کارمندان'!$A$5:$H$205,2,FALSE),"")</x:f>
      </x:c>
      <x:c r="C24" s="21" t="str">
        <x:f>IFERROR(VLOOKUP(A24,'کارمندان'!$A$5:$H$205,5,FALSE),0)</x:f>
      </x:c>
      <x:c r="D24" s="20" t="n">
        <x:f>SUMIFS('حضور و غیاب'!$J$5:$J$205,'حضور و غیاب'!$B$5:$B$205,$A24,'حضور و غیاب'!$A$5:$A$205,"&gt;="&amp;'تنظیمات'!$B$5,'حضور و غیاب'!$A$5:$A$205,"&lt;="&amp;'تنظیمات'!$B$6)</x:f>
        <x:v>0</x:v>
      </x:c>
      <x:c r="E24" s="20" t="n">
        <x:f>SUMIFS('حضور و غیاب'!$K$5:$K$205,'حضور و غیاب'!$B$5:$B$205,$A24,'حضور و غیاب'!$A$5:$A$205,"&gt;="&amp;'تنظیمات'!$B$5,'حضور و غیاب'!$A$5:$A$205,"&lt;="&amp;'تنظیمات'!$B$6)</x:f>
        <x:v>0</x:v>
      </x:c>
      <x:c r="F24" s="20" t="n">
        <x:f>SUMIFS('حضور و غیاب'!$G$5:$G$205,'حضور و غیاب'!$B$5:$B$205,$A24,'حضور و غیاب'!$F$5:$F$205,"Paid",'حضور و غیاب'!$A$5:$A$205,"&gt;="&amp;'تنظیمات'!$B$5,'حضور و غیاب'!$A$5:$A$205,"&lt;="&amp;'تنظیمات'!$B$6)</x:f>
        <x:v>0</x:v>
      </x:c>
      <x:c r="G24" s="20" t="n">
        <x:f>SUMIFS('حضور و غیاب'!$L$5:$L$205,'حضور و غیاب'!$B$5:$B$205,$A24,'حضور و غیاب'!$A$5:$A$205,"&gt;="&amp;'تنظیمات'!$B$5,'حضور و غیاب'!$A$5:$A$205,"&lt;="&amp;'تنظیمات'!$B$6)</x:f>
        <x:v>0</x:v>
      </x:c>
      <x:c r="H24" s="21" t="n">
        <x:f>ROUND(C24*D24,2)</x:f>
        <x:v>0</x:v>
      </x:c>
      <x:c r="I24" s="21" t="n">
        <x:f>ROUND(C24*E24*'تنظیمات'!$B$7,2)</x:f>
        <x:v>0</x:v>
      </x:c>
      <x:c r="J24" s="21" t="n">
        <x:f>ROUND(C24*F24,2)</x:f>
        <x:v>0</x:v>
      </x:c>
      <x:c r="K24" s="21" t="n">
        <x:f>ROUND((H24+I24+J24)*'تنظیمات'!$B$8,2)</x:f>
        <x:v>0</x:v>
      </x:c>
      <x:c r="L24" s="21" t="n">
        <x:f>SUM(H24:K24)</x:f>
        <x:v>0</x:v>
      </x:c>
      <x:c r="M24" s="21" t="n">
        <x:f>ROUND(MAX(0,L24-'تنظیمات'!$B$9)*'تنظیمات'!$B$10,2)</x:f>
        <x:v>0</x:v>
      </x:c>
      <x:c r="N24" s="21" t="n">
        <x:f>ROUND(MAX(0,L24*12-'تنظیمات'!$B$11)/12*'تنظیمات'!$B$12,2)</x:f>
        <x:v>0</x:v>
      </x:c>
      <x:c r="O24" s="21" t="n">
        <x:f>ROUND(L24*'تنظیمات'!$B$13,2)</x:f>
        <x:v>0</x:v>
      </x:c>
      <x:c r="P24" s="21" t="n">
        <x:f>ROUND((MIN(L24*12,'تنظیمات'!$B$17)*'تنظیمات'!$B$18+MAX(0,MIN(L24*12,'تنظیمات'!$B$19)-'تنظیمات'!$B$17)*'تنظیمات'!$B$20)/12,2)</x:f>
        <x:v>0</x:v>
      </x:c>
      <x:c r="Q24" s="21" t="n">
        <x:f>ROUND(MIN(L24*12,'تنظیمات'!$B$21)*'تنظیمات'!$B$22/12,2)</x:f>
        <x:v>0</x:v>
      </x:c>
      <x:c r="R24" s="21" t="n">
        <x:f>ROUND(MIN('تنظیمات'!$B$16,MAX(0,L24*12-'تنظیمات'!$B$14)*'تنظیمات'!$B$15)/12,2)</x:f>
        <x:v>0</x:v>
      </x:c>
      <x:c r="S24" s="21" t="n">
        <x:f>SUM(M24:R24)</x:f>
        <x:v>0</x:v>
      </x:c>
      <x:c r="T24" s="21" t="n">
        <x:f>L24-S24</x:f>
        <x:v>0</x:v>
      </x:c>
      <x:c r="U24" s="22" t="n">
        <x:f>'تنظیمات'!$B$5</x:f>
        <x:v>46266</x:v>
      </x:c>
      <x:c r="V24" s="22" t="n">
        <x:f>'تنظیمات'!$B$6</x:f>
        <x:v>46295</x:v>
      </x:c>
      <x:c r="W24" s="17" t="str">
        <x:f>IF(AND(A24&lt;&gt;"",T24&gt;=0),"OK","بررسی شود")</x:f>
        <x:v>بررسی شود</x:v>
      </x:c>
    </x:row>
    <x:row r="25">
      <x:c r="A25" s="13"/>
      <x:c r="B25" s="17" t="str">
        <x:f>IFERROR(VLOOKUP(A25,'کارمندان'!$A$5:$H$205,2,FALSE),"")</x:f>
      </x:c>
      <x:c r="C25" s="21" t="str">
        <x:f>IFERROR(VLOOKUP(A25,'کارمندان'!$A$5:$H$205,5,FALSE),0)</x:f>
      </x:c>
      <x:c r="D25" s="20" t="n">
        <x:f>SUMIFS('حضور و غیاب'!$J$5:$J$205,'حضور و غیاب'!$B$5:$B$205,$A25,'حضور و غیاب'!$A$5:$A$205,"&gt;="&amp;'تنظیمات'!$B$5,'حضور و غیاب'!$A$5:$A$205,"&lt;="&amp;'تنظیمات'!$B$6)</x:f>
        <x:v>0</x:v>
      </x:c>
      <x:c r="E25" s="20" t="n">
        <x:f>SUMIFS('حضور و غیاب'!$K$5:$K$205,'حضور و غیاب'!$B$5:$B$205,$A25,'حضور و غیاب'!$A$5:$A$205,"&gt;="&amp;'تنظیمات'!$B$5,'حضور و غیاب'!$A$5:$A$205,"&lt;="&amp;'تنظیمات'!$B$6)</x:f>
        <x:v>0</x:v>
      </x:c>
      <x:c r="F25" s="20" t="n">
        <x:f>SUMIFS('حضور و غیاب'!$G$5:$G$205,'حضور و غیاب'!$B$5:$B$205,$A25,'حضور و غیاب'!$F$5:$F$205,"Paid",'حضور و غیاب'!$A$5:$A$205,"&gt;="&amp;'تنظیمات'!$B$5,'حضور و غیاب'!$A$5:$A$205,"&lt;="&amp;'تنظیمات'!$B$6)</x:f>
        <x:v>0</x:v>
      </x:c>
      <x:c r="G25" s="20" t="n">
        <x:f>SUMIFS('حضور و غیاب'!$L$5:$L$205,'حضور و غیاب'!$B$5:$B$205,$A25,'حضور و غیاب'!$A$5:$A$205,"&gt;="&amp;'تنظیمات'!$B$5,'حضور و غیاب'!$A$5:$A$205,"&lt;="&amp;'تنظیمات'!$B$6)</x:f>
        <x:v>0</x:v>
      </x:c>
      <x:c r="H25" s="21" t="n">
        <x:f>ROUND(C25*D25,2)</x:f>
        <x:v>0</x:v>
      </x:c>
      <x:c r="I25" s="21" t="n">
        <x:f>ROUND(C25*E25*'تنظیمات'!$B$7,2)</x:f>
        <x:v>0</x:v>
      </x:c>
      <x:c r="J25" s="21" t="n">
        <x:f>ROUND(C25*F25,2)</x:f>
        <x:v>0</x:v>
      </x:c>
      <x:c r="K25" s="21" t="n">
        <x:f>ROUND((H25+I25+J25)*'تنظیمات'!$B$8,2)</x:f>
        <x:v>0</x:v>
      </x:c>
      <x:c r="L25" s="21" t="n">
        <x:f>SUM(H25:K25)</x:f>
        <x:v>0</x:v>
      </x:c>
      <x:c r="M25" s="21" t="n">
        <x:f>ROUND(MAX(0,L25-'تنظیمات'!$B$9)*'تنظیمات'!$B$10,2)</x:f>
        <x:v>0</x:v>
      </x:c>
      <x:c r="N25" s="21" t="n">
        <x:f>ROUND(MAX(0,L25*12-'تنظیمات'!$B$11)/12*'تنظیمات'!$B$12,2)</x:f>
        <x:v>0</x:v>
      </x:c>
      <x:c r="O25" s="21" t="n">
        <x:f>ROUND(L25*'تنظیمات'!$B$13,2)</x:f>
        <x:v>0</x:v>
      </x:c>
      <x:c r="P25" s="21" t="n">
        <x:f>ROUND((MIN(L25*12,'تنظیمات'!$B$17)*'تنظیمات'!$B$18+MAX(0,MIN(L25*12,'تنظیمات'!$B$19)-'تنظیمات'!$B$17)*'تنظیمات'!$B$20)/12,2)</x:f>
        <x:v>0</x:v>
      </x:c>
      <x:c r="Q25" s="21" t="n">
        <x:f>ROUND(MIN(L25*12,'تنظیمات'!$B$21)*'تنظیمات'!$B$22/12,2)</x:f>
        <x:v>0</x:v>
      </x:c>
      <x:c r="R25" s="21" t="n">
        <x:f>ROUND(MIN('تنظیمات'!$B$16,MAX(0,L25*12-'تنظیمات'!$B$14)*'تنظیمات'!$B$15)/12,2)</x:f>
        <x:v>0</x:v>
      </x:c>
      <x:c r="S25" s="21" t="n">
        <x:f>SUM(M25:R25)</x:f>
        <x:v>0</x:v>
      </x:c>
      <x:c r="T25" s="21" t="n">
        <x:f>L25-S25</x:f>
        <x:v>0</x:v>
      </x:c>
      <x:c r="U25" s="22" t="n">
        <x:f>'تنظیمات'!$B$5</x:f>
        <x:v>46266</x:v>
      </x:c>
      <x:c r="V25" s="22" t="n">
        <x:f>'تنظیمات'!$B$6</x:f>
        <x:v>46295</x:v>
      </x:c>
      <x:c r="W25" s="17" t="str">
        <x:f>IF(AND(A25&lt;&gt;"",T25&gt;=0),"OK","بررسی شود")</x:f>
        <x:v>بررسی شود</x:v>
      </x:c>
    </x:row>
    <x:row r="26">
      <x:c r="A26" s="13"/>
      <x:c r="B26" s="17" t="str">
        <x:f>IFERROR(VLOOKUP(A26,'کارمندان'!$A$5:$H$205,2,FALSE),"")</x:f>
      </x:c>
      <x:c r="C26" s="21" t="str">
        <x:f>IFERROR(VLOOKUP(A26,'کارمندان'!$A$5:$H$205,5,FALSE),0)</x:f>
      </x:c>
      <x:c r="D26" s="20" t="n">
        <x:f>SUMIFS('حضور و غیاب'!$J$5:$J$205,'حضور و غیاب'!$B$5:$B$205,$A26,'حضور و غیاب'!$A$5:$A$205,"&gt;="&amp;'تنظیمات'!$B$5,'حضور و غیاب'!$A$5:$A$205,"&lt;="&amp;'تنظیمات'!$B$6)</x:f>
        <x:v>0</x:v>
      </x:c>
      <x:c r="E26" s="20" t="n">
        <x:f>SUMIFS('حضور و غیاب'!$K$5:$K$205,'حضور و غیاب'!$B$5:$B$205,$A26,'حضور و غیاب'!$A$5:$A$205,"&gt;="&amp;'تنظیمات'!$B$5,'حضور و غیاب'!$A$5:$A$205,"&lt;="&amp;'تنظیمات'!$B$6)</x:f>
        <x:v>0</x:v>
      </x:c>
      <x:c r="F26" s="20" t="n">
        <x:f>SUMIFS('حضور و غیاب'!$G$5:$G$205,'حضور و غیاب'!$B$5:$B$205,$A26,'حضور و غیاب'!$F$5:$F$205,"Paid",'حضور و غیاب'!$A$5:$A$205,"&gt;="&amp;'تنظیمات'!$B$5,'حضور و غیاب'!$A$5:$A$205,"&lt;="&amp;'تنظیمات'!$B$6)</x:f>
        <x:v>0</x:v>
      </x:c>
      <x:c r="G26" s="20" t="n">
        <x:f>SUMIFS('حضور و غیاب'!$L$5:$L$205,'حضور و غیاب'!$B$5:$B$205,$A26,'حضور و غیاب'!$A$5:$A$205,"&gt;="&amp;'تنظیمات'!$B$5,'حضور و غیاب'!$A$5:$A$205,"&lt;="&amp;'تنظیمات'!$B$6)</x:f>
        <x:v>0</x:v>
      </x:c>
      <x:c r="H26" s="21" t="n">
        <x:f>ROUND(C26*D26,2)</x:f>
        <x:v>0</x:v>
      </x:c>
      <x:c r="I26" s="21" t="n">
        <x:f>ROUND(C26*E26*'تنظیمات'!$B$7,2)</x:f>
        <x:v>0</x:v>
      </x:c>
      <x:c r="J26" s="21" t="n">
        <x:f>ROUND(C26*F26,2)</x:f>
        <x:v>0</x:v>
      </x:c>
      <x:c r="K26" s="21" t="n">
        <x:f>ROUND((H26+I26+J26)*'تنظیمات'!$B$8,2)</x:f>
        <x:v>0</x:v>
      </x:c>
      <x:c r="L26" s="21" t="n">
        <x:f>SUM(H26:K26)</x:f>
        <x:v>0</x:v>
      </x:c>
      <x:c r="M26" s="21" t="n">
        <x:f>ROUND(MAX(0,L26-'تنظیمات'!$B$9)*'تنظیمات'!$B$10,2)</x:f>
        <x:v>0</x:v>
      </x:c>
      <x:c r="N26" s="21" t="n">
        <x:f>ROUND(MAX(0,L26*12-'تنظیمات'!$B$11)/12*'تنظیمات'!$B$12,2)</x:f>
        <x:v>0</x:v>
      </x:c>
      <x:c r="O26" s="21" t="n">
        <x:f>ROUND(L26*'تنظیمات'!$B$13,2)</x:f>
        <x:v>0</x:v>
      </x:c>
      <x:c r="P26" s="21" t="n">
        <x:f>ROUND((MIN(L26*12,'تنظیمات'!$B$17)*'تنظیمات'!$B$18+MAX(0,MIN(L26*12,'تنظیمات'!$B$19)-'تنظیمات'!$B$17)*'تنظیمات'!$B$20)/12,2)</x:f>
        <x:v>0</x:v>
      </x:c>
      <x:c r="Q26" s="21" t="n">
        <x:f>ROUND(MIN(L26*12,'تنظیمات'!$B$21)*'تنظیمات'!$B$22/12,2)</x:f>
        <x:v>0</x:v>
      </x:c>
      <x:c r="R26" s="21" t="n">
        <x:f>ROUND(MIN('تنظیمات'!$B$16,MAX(0,L26*12-'تنظیمات'!$B$14)*'تنظیمات'!$B$15)/12,2)</x:f>
        <x:v>0</x:v>
      </x:c>
      <x:c r="S26" s="21" t="n">
        <x:f>SUM(M26:R26)</x:f>
        <x:v>0</x:v>
      </x:c>
      <x:c r="T26" s="21" t="n">
        <x:f>L26-S26</x:f>
        <x:v>0</x:v>
      </x:c>
      <x:c r="U26" s="22" t="n">
        <x:f>'تنظیمات'!$B$5</x:f>
        <x:v>46266</x:v>
      </x:c>
      <x:c r="V26" s="22" t="n">
        <x:f>'تنظیمات'!$B$6</x:f>
        <x:v>46295</x:v>
      </x:c>
      <x:c r="W26" s="17" t="str">
        <x:f>IF(AND(A26&lt;&gt;"",T26&gt;=0),"OK","بررسی شود")</x:f>
        <x:v>بررسی شود</x:v>
      </x:c>
    </x:row>
    <x:row r="27">
      <x:c r="A27" s="13"/>
      <x:c r="B27" s="17" t="str">
        <x:f>IFERROR(VLOOKUP(A27,'کارمندان'!$A$5:$H$205,2,FALSE),"")</x:f>
      </x:c>
      <x:c r="C27" s="21" t="str">
        <x:f>IFERROR(VLOOKUP(A27,'کارمندان'!$A$5:$H$205,5,FALSE),0)</x:f>
      </x:c>
      <x:c r="D27" s="20" t="n">
        <x:f>SUMIFS('حضور و غیاب'!$J$5:$J$205,'حضور و غیاب'!$B$5:$B$205,$A27,'حضور و غیاب'!$A$5:$A$205,"&gt;="&amp;'تنظیمات'!$B$5,'حضور و غیاب'!$A$5:$A$205,"&lt;="&amp;'تنظیمات'!$B$6)</x:f>
        <x:v>0</x:v>
      </x:c>
      <x:c r="E27" s="20" t="n">
        <x:f>SUMIFS('حضور و غیاب'!$K$5:$K$205,'حضور و غیاب'!$B$5:$B$205,$A27,'حضور و غیاب'!$A$5:$A$205,"&gt;="&amp;'تنظیمات'!$B$5,'حضور و غیاب'!$A$5:$A$205,"&lt;="&amp;'تنظیمات'!$B$6)</x:f>
        <x:v>0</x:v>
      </x:c>
      <x:c r="F27" s="20" t="n">
        <x:f>SUMIFS('حضور و غیاب'!$G$5:$G$205,'حضور و غیاب'!$B$5:$B$205,$A27,'حضور و غیاب'!$F$5:$F$205,"Paid",'حضور و غیاب'!$A$5:$A$205,"&gt;="&amp;'تنظیمات'!$B$5,'حضور و غیاب'!$A$5:$A$205,"&lt;="&amp;'تنظیمات'!$B$6)</x:f>
        <x:v>0</x:v>
      </x:c>
      <x:c r="G27" s="20" t="n">
        <x:f>SUMIFS('حضور و غیاب'!$L$5:$L$205,'حضور و غیاب'!$B$5:$B$205,$A27,'حضور و غیاب'!$A$5:$A$205,"&gt;="&amp;'تنظیمات'!$B$5,'حضور و غیاب'!$A$5:$A$205,"&lt;="&amp;'تنظیمات'!$B$6)</x:f>
        <x:v>0</x:v>
      </x:c>
      <x:c r="H27" s="21" t="n">
        <x:f>ROUND(C27*D27,2)</x:f>
        <x:v>0</x:v>
      </x:c>
      <x:c r="I27" s="21" t="n">
        <x:f>ROUND(C27*E27*'تنظیمات'!$B$7,2)</x:f>
        <x:v>0</x:v>
      </x:c>
      <x:c r="J27" s="21" t="n">
        <x:f>ROUND(C27*F27,2)</x:f>
        <x:v>0</x:v>
      </x:c>
      <x:c r="K27" s="21" t="n">
        <x:f>ROUND((H27+I27+J27)*'تنظیمات'!$B$8,2)</x:f>
        <x:v>0</x:v>
      </x:c>
      <x:c r="L27" s="21" t="n">
        <x:f>SUM(H27:K27)</x:f>
        <x:v>0</x:v>
      </x:c>
      <x:c r="M27" s="21" t="n">
        <x:f>ROUND(MAX(0,L27-'تنظیمات'!$B$9)*'تنظیمات'!$B$10,2)</x:f>
        <x:v>0</x:v>
      </x:c>
      <x:c r="N27" s="21" t="n">
        <x:f>ROUND(MAX(0,L27*12-'تنظیمات'!$B$11)/12*'تنظیمات'!$B$12,2)</x:f>
        <x:v>0</x:v>
      </x:c>
      <x:c r="O27" s="21" t="n">
        <x:f>ROUND(L27*'تنظیمات'!$B$13,2)</x:f>
        <x:v>0</x:v>
      </x:c>
      <x:c r="P27" s="21" t="n">
        <x:f>ROUND((MIN(L27*12,'تنظیمات'!$B$17)*'تنظیمات'!$B$18+MAX(0,MIN(L27*12,'تنظیمات'!$B$19)-'تنظیمات'!$B$17)*'تنظیمات'!$B$20)/12,2)</x:f>
        <x:v>0</x:v>
      </x:c>
      <x:c r="Q27" s="21" t="n">
        <x:f>ROUND(MIN(L27*12,'تنظیمات'!$B$21)*'تنظیمات'!$B$22/12,2)</x:f>
        <x:v>0</x:v>
      </x:c>
      <x:c r="R27" s="21" t="n">
        <x:f>ROUND(MIN('تنظیمات'!$B$16,MAX(0,L27*12-'تنظیمات'!$B$14)*'تنظیمات'!$B$15)/12,2)</x:f>
        <x:v>0</x:v>
      </x:c>
      <x:c r="S27" s="21" t="n">
        <x:f>SUM(M27:R27)</x:f>
        <x:v>0</x:v>
      </x:c>
      <x:c r="T27" s="21" t="n">
        <x:f>L27-S27</x:f>
        <x:v>0</x:v>
      </x:c>
      <x:c r="U27" s="22" t="n">
        <x:f>'تنظیمات'!$B$5</x:f>
        <x:v>46266</x:v>
      </x:c>
      <x:c r="V27" s="22" t="n">
        <x:f>'تنظیمات'!$B$6</x:f>
        <x:v>46295</x:v>
      </x:c>
      <x:c r="W27" s="17" t="str">
        <x:f>IF(AND(A27&lt;&gt;"",T27&gt;=0),"OK","بررسی شود")</x:f>
        <x:v>بررسی شود</x:v>
      </x:c>
    </x:row>
    <x:row r="28">
      <x:c r="A28" s="13"/>
      <x:c r="B28" s="17" t="str">
        <x:f>IFERROR(VLOOKUP(A28,'کارمندان'!$A$5:$H$205,2,FALSE),"")</x:f>
      </x:c>
      <x:c r="C28" s="21" t="str">
        <x:f>IFERROR(VLOOKUP(A28,'کارمندان'!$A$5:$H$205,5,FALSE),0)</x:f>
      </x:c>
      <x:c r="D28" s="20" t="n">
        <x:f>SUMIFS('حضور و غیاب'!$J$5:$J$205,'حضور و غیاب'!$B$5:$B$205,$A28,'حضور و غیاب'!$A$5:$A$205,"&gt;="&amp;'تنظیمات'!$B$5,'حضور و غیاب'!$A$5:$A$205,"&lt;="&amp;'تنظیمات'!$B$6)</x:f>
        <x:v>0</x:v>
      </x:c>
      <x:c r="E28" s="20" t="n">
        <x:f>SUMIFS('حضور و غیاب'!$K$5:$K$205,'حضور و غیاب'!$B$5:$B$205,$A28,'حضور و غیاب'!$A$5:$A$205,"&gt;="&amp;'تنظیمات'!$B$5,'حضور و غیاب'!$A$5:$A$205,"&lt;="&amp;'تنظیمات'!$B$6)</x:f>
        <x:v>0</x:v>
      </x:c>
      <x:c r="F28" s="20" t="n">
        <x:f>SUMIFS('حضور و غیاب'!$G$5:$G$205,'حضور و غیاب'!$B$5:$B$205,$A28,'حضور و غیاب'!$F$5:$F$205,"Paid",'حضور و غیاب'!$A$5:$A$205,"&gt;="&amp;'تنظیمات'!$B$5,'حضور و غیاب'!$A$5:$A$205,"&lt;="&amp;'تنظیمات'!$B$6)</x:f>
        <x:v>0</x:v>
      </x:c>
      <x:c r="G28" s="20" t="n">
        <x:f>SUMIFS('حضور و غیاب'!$L$5:$L$205,'حضور و غیاب'!$B$5:$B$205,$A28,'حضور و غیاب'!$A$5:$A$205,"&gt;="&amp;'تنظیمات'!$B$5,'حضور و غیاب'!$A$5:$A$205,"&lt;="&amp;'تنظیمات'!$B$6)</x:f>
        <x:v>0</x:v>
      </x:c>
      <x:c r="H28" s="21" t="n">
        <x:f>ROUND(C28*D28,2)</x:f>
        <x:v>0</x:v>
      </x:c>
      <x:c r="I28" s="21" t="n">
        <x:f>ROUND(C28*E28*'تنظیمات'!$B$7,2)</x:f>
        <x:v>0</x:v>
      </x:c>
      <x:c r="J28" s="21" t="n">
        <x:f>ROUND(C28*F28,2)</x:f>
        <x:v>0</x:v>
      </x:c>
      <x:c r="K28" s="21" t="n">
        <x:f>ROUND((H28+I28+J28)*'تنظیمات'!$B$8,2)</x:f>
        <x:v>0</x:v>
      </x:c>
      <x:c r="L28" s="21" t="n">
        <x:f>SUM(H28:K28)</x:f>
        <x:v>0</x:v>
      </x:c>
      <x:c r="M28" s="21" t="n">
        <x:f>ROUND(MAX(0,L28-'تنظیمات'!$B$9)*'تنظیمات'!$B$10,2)</x:f>
        <x:v>0</x:v>
      </x:c>
      <x:c r="N28" s="21" t="n">
        <x:f>ROUND(MAX(0,L28*12-'تنظیمات'!$B$11)/12*'تنظیمات'!$B$12,2)</x:f>
        <x:v>0</x:v>
      </x:c>
      <x:c r="O28" s="21" t="n">
        <x:f>ROUND(L28*'تنظیمات'!$B$13,2)</x:f>
        <x:v>0</x:v>
      </x:c>
      <x:c r="P28" s="21" t="n">
        <x:f>ROUND((MIN(L28*12,'تنظیمات'!$B$17)*'تنظیمات'!$B$18+MAX(0,MIN(L28*12,'تنظیمات'!$B$19)-'تنظیمات'!$B$17)*'تنظیمات'!$B$20)/12,2)</x:f>
        <x:v>0</x:v>
      </x:c>
      <x:c r="Q28" s="21" t="n">
        <x:f>ROUND(MIN(L28*12,'تنظیمات'!$B$21)*'تنظیمات'!$B$22/12,2)</x:f>
        <x:v>0</x:v>
      </x:c>
      <x:c r="R28" s="21" t="n">
        <x:f>ROUND(MIN('تنظیمات'!$B$16,MAX(0,L28*12-'تنظیمات'!$B$14)*'تنظیمات'!$B$15)/12,2)</x:f>
        <x:v>0</x:v>
      </x:c>
      <x:c r="S28" s="21" t="n">
        <x:f>SUM(M28:R28)</x:f>
        <x:v>0</x:v>
      </x:c>
      <x:c r="T28" s="21" t="n">
        <x:f>L28-S28</x:f>
        <x:v>0</x:v>
      </x:c>
      <x:c r="U28" s="22" t="n">
        <x:f>'تنظیمات'!$B$5</x:f>
        <x:v>46266</x:v>
      </x:c>
      <x:c r="V28" s="22" t="n">
        <x:f>'تنظیمات'!$B$6</x:f>
        <x:v>46295</x:v>
      </x:c>
      <x:c r="W28" s="17" t="str">
        <x:f>IF(AND(A28&lt;&gt;"",T28&gt;=0),"OK","بررسی شود")</x:f>
        <x:v>بررسی شود</x:v>
      </x:c>
    </x:row>
    <x:row r="29">
      <x:c r="A29" s="13"/>
      <x:c r="B29" s="17" t="str">
        <x:f>IFERROR(VLOOKUP(A29,'کارمندان'!$A$5:$H$205,2,FALSE),"")</x:f>
      </x:c>
      <x:c r="C29" s="21" t="str">
        <x:f>IFERROR(VLOOKUP(A29,'کارمندان'!$A$5:$H$205,5,FALSE),0)</x:f>
      </x:c>
      <x:c r="D29" s="20" t="n">
        <x:f>SUMIFS('حضور و غیاب'!$J$5:$J$205,'حضور و غیاب'!$B$5:$B$205,$A29,'حضور و غیاب'!$A$5:$A$205,"&gt;="&amp;'تنظیمات'!$B$5,'حضور و غیاب'!$A$5:$A$205,"&lt;="&amp;'تنظیمات'!$B$6)</x:f>
        <x:v>0</x:v>
      </x:c>
      <x:c r="E29" s="20" t="n">
        <x:f>SUMIFS('حضور و غیاب'!$K$5:$K$205,'حضور و غیاب'!$B$5:$B$205,$A29,'حضور و غیاب'!$A$5:$A$205,"&gt;="&amp;'تنظیمات'!$B$5,'حضور و غیاب'!$A$5:$A$205,"&lt;="&amp;'تنظیمات'!$B$6)</x:f>
        <x:v>0</x:v>
      </x:c>
      <x:c r="F29" s="20" t="n">
        <x:f>SUMIFS('حضور و غیاب'!$G$5:$G$205,'حضور و غیاب'!$B$5:$B$205,$A29,'حضور و غیاب'!$F$5:$F$205,"Paid",'حضور و غیاب'!$A$5:$A$205,"&gt;="&amp;'تنظیمات'!$B$5,'حضور و غیاب'!$A$5:$A$205,"&lt;="&amp;'تنظیمات'!$B$6)</x:f>
        <x:v>0</x:v>
      </x:c>
      <x:c r="G29" s="20" t="n">
        <x:f>SUMIFS('حضور و غیاب'!$L$5:$L$205,'حضور و غیاب'!$B$5:$B$205,$A29,'حضور و غیاب'!$A$5:$A$205,"&gt;="&amp;'تنظیمات'!$B$5,'حضور و غیاب'!$A$5:$A$205,"&lt;="&amp;'تنظیمات'!$B$6)</x:f>
        <x:v>0</x:v>
      </x:c>
      <x:c r="H29" s="21" t="n">
        <x:f>ROUND(C29*D29,2)</x:f>
        <x:v>0</x:v>
      </x:c>
      <x:c r="I29" s="21" t="n">
        <x:f>ROUND(C29*E29*'تنظیمات'!$B$7,2)</x:f>
        <x:v>0</x:v>
      </x:c>
      <x:c r="J29" s="21" t="n">
        <x:f>ROUND(C29*F29,2)</x:f>
        <x:v>0</x:v>
      </x:c>
      <x:c r="K29" s="21" t="n">
        <x:f>ROUND((H29+I29+J29)*'تنظیمات'!$B$8,2)</x:f>
        <x:v>0</x:v>
      </x:c>
      <x:c r="L29" s="21" t="n">
        <x:f>SUM(H29:K29)</x:f>
        <x:v>0</x:v>
      </x:c>
      <x:c r="M29" s="21" t="n">
        <x:f>ROUND(MAX(0,L29-'تنظیمات'!$B$9)*'تنظیمات'!$B$10,2)</x:f>
        <x:v>0</x:v>
      </x:c>
      <x:c r="N29" s="21" t="n">
        <x:f>ROUND(MAX(0,L29*12-'تنظیمات'!$B$11)/12*'تنظیمات'!$B$12,2)</x:f>
        <x:v>0</x:v>
      </x:c>
      <x:c r="O29" s="21" t="n">
        <x:f>ROUND(L29*'تنظیمات'!$B$13,2)</x:f>
        <x:v>0</x:v>
      </x:c>
      <x:c r="P29" s="21" t="n">
        <x:f>ROUND((MIN(L29*12,'تنظیمات'!$B$17)*'تنظیمات'!$B$18+MAX(0,MIN(L29*12,'تنظیمات'!$B$19)-'تنظیمات'!$B$17)*'تنظیمات'!$B$20)/12,2)</x:f>
        <x:v>0</x:v>
      </x:c>
      <x:c r="Q29" s="21" t="n">
        <x:f>ROUND(MIN(L29*12,'تنظیمات'!$B$21)*'تنظیمات'!$B$22/12,2)</x:f>
        <x:v>0</x:v>
      </x:c>
      <x:c r="R29" s="21" t="n">
        <x:f>ROUND(MIN('تنظیمات'!$B$16,MAX(0,L29*12-'تنظیمات'!$B$14)*'تنظیمات'!$B$15)/12,2)</x:f>
        <x:v>0</x:v>
      </x:c>
      <x:c r="S29" s="21" t="n">
        <x:f>SUM(M29:R29)</x:f>
        <x:v>0</x:v>
      </x:c>
      <x:c r="T29" s="21" t="n">
        <x:f>L29-S29</x:f>
        <x:v>0</x:v>
      </x:c>
      <x:c r="U29" s="22" t="n">
        <x:f>'تنظیمات'!$B$5</x:f>
        <x:v>46266</x:v>
      </x:c>
      <x:c r="V29" s="22" t="n">
        <x:f>'تنظیمات'!$B$6</x:f>
        <x:v>46295</x:v>
      </x:c>
      <x:c r="W29" s="17" t="str">
        <x:f>IF(AND(A29&lt;&gt;"",T29&gt;=0),"OK","بررسی شود")</x:f>
        <x:v>بررسی شود</x:v>
      </x:c>
    </x:row>
    <x:row r="30">
      <x:c r="A30" s="13"/>
      <x:c r="B30" s="17" t="str">
        <x:f>IFERROR(VLOOKUP(A30,'کارمندان'!$A$5:$H$205,2,FALSE),"")</x:f>
      </x:c>
      <x:c r="C30" s="21" t="str">
        <x:f>IFERROR(VLOOKUP(A30,'کارمندان'!$A$5:$H$205,5,FALSE),0)</x:f>
      </x:c>
      <x:c r="D30" s="20" t="n">
        <x:f>SUMIFS('حضور و غیاب'!$J$5:$J$205,'حضور و غیاب'!$B$5:$B$205,$A30,'حضور و غیاب'!$A$5:$A$205,"&gt;="&amp;'تنظیمات'!$B$5,'حضور و غیاب'!$A$5:$A$205,"&lt;="&amp;'تنظیمات'!$B$6)</x:f>
        <x:v>0</x:v>
      </x:c>
      <x:c r="E30" s="20" t="n">
        <x:f>SUMIFS('حضور و غیاب'!$K$5:$K$205,'حضور و غیاب'!$B$5:$B$205,$A30,'حضور و غیاب'!$A$5:$A$205,"&gt;="&amp;'تنظیمات'!$B$5,'حضور و غیاب'!$A$5:$A$205,"&lt;="&amp;'تنظیمات'!$B$6)</x:f>
        <x:v>0</x:v>
      </x:c>
      <x:c r="F30" s="20" t="n">
        <x:f>SUMIFS('حضور و غیاب'!$G$5:$G$205,'حضور و غیاب'!$B$5:$B$205,$A30,'حضور و غیاب'!$F$5:$F$205,"Paid",'حضور و غیاب'!$A$5:$A$205,"&gt;="&amp;'تنظیمات'!$B$5,'حضور و غیاب'!$A$5:$A$205,"&lt;="&amp;'تنظیمات'!$B$6)</x:f>
        <x:v>0</x:v>
      </x:c>
      <x:c r="G30" s="20" t="n">
        <x:f>SUMIFS('حضور و غیاب'!$L$5:$L$205,'حضور و غیاب'!$B$5:$B$205,$A30,'حضور و غیاب'!$A$5:$A$205,"&gt;="&amp;'تنظیمات'!$B$5,'حضور و غیاب'!$A$5:$A$205,"&lt;="&amp;'تنظیمات'!$B$6)</x:f>
        <x:v>0</x:v>
      </x:c>
      <x:c r="H30" s="21" t="n">
        <x:f>ROUND(C30*D30,2)</x:f>
        <x:v>0</x:v>
      </x:c>
      <x:c r="I30" s="21" t="n">
        <x:f>ROUND(C30*E30*'تنظیمات'!$B$7,2)</x:f>
        <x:v>0</x:v>
      </x:c>
      <x:c r="J30" s="21" t="n">
        <x:f>ROUND(C30*F30,2)</x:f>
        <x:v>0</x:v>
      </x:c>
      <x:c r="K30" s="21" t="n">
        <x:f>ROUND((H30+I30+J30)*'تنظیمات'!$B$8,2)</x:f>
        <x:v>0</x:v>
      </x:c>
      <x:c r="L30" s="21" t="n">
        <x:f>SUM(H30:K30)</x:f>
        <x:v>0</x:v>
      </x:c>
      <x:c r="M30" s="21" t="n">
        <x:f>ROUND(MAX(0,L30-'تنظیمات'!$B$9)*'تنظیمات'!$B$10,2)</x:f>
        <x:v>0</x:v>
      </x:c>
      <x:c r="N30" s="21" t="n">
        <x:f>ROUND(MAX(0,L30*12-'تنظیمات'!$B$11)/12*'تنظیمات'!$B$12,2)</x:f>
        <x:v>0</x:v>
      </x:c>
      <x:c r="O30" s="21" t="n">
        <x:f>ROUND(L30*'تنظیمات'!$B$13,2)</x:f>
        <x:v>0</x:v>
      </x:c>
      <x:c r="P30" s="21" t="n">
        <x:f>ROUND((MIN(L30*12,'تنظیمات'!$B$17)*'تنظیمات'!$B$18+MAX(0,MIN(L30*12,'تنظیمات'!$B$19)-'تنظیمات'!$B$17)*'تنظیمات'!$B$20)/12,2)</x:f>
        <x:v>0</x:v>
      </x:c>
      <x:c r="Q30" s="21" t="n">
        <x:f>ROUND(MIN(L30*12,'تنظیمات'!$B$21)*'تنظیمات'!$B$22/12,2)</x:f>
        <x:v>0</x:v>
      </x:c>
      <x:c r="R30" s="21" t="n">
        <x:f>ROUND(MIN('تنظیمات'!$B$16,MAX(0,L30*12-'تنظیمات'!$B$14)*'تنظیمات'!$B$15)/12,2)</x:f>
        <x:v>0</x:v>
      </x:c>
      <x:c r="S30" s="21" t="n">
        <x:f>SUM(M30:R30)</x:f>
        <x:v>0</x:v>
      </x:c>
      <x:c r="T30" s="21" t="n">
        <x:f>L30-S30</x:f>
        <x:v>0</x:v>
      </x:c>
      <x:c r="U30" s="22" t="n">
        <x:f>'تنظیمات'!$B$5</x:f>
        <x:v>46266</x:v>
      </x:c>
      <x:c r="V30" s="22" t="n">
        <x:f>'تنظیمات'!$B$6</x:f>
        <x:v>46295</x:v>
      </x:c>
      <x:c r="W30" s="17" t="str">
        <x:f>IF(AND(A30&lt;&gt;"",T30&gt;=0),"OK","بررسی شود")</x:f>
        <x:v>بررسی شود</x:v>
      </x:c>
    </x:row>
    <x:row r="31">
      <x:c r="A31" s="13"/>
      <x:c r="B31" s="17" t="str">
        <x:f>IFERROR(VLOOKUP(A31,'کارمندان'!$A$5:$H$205,2,FALSE),"")</x:f>
      </x:c>
      <x:c r="C31" s="21" t="str">
        <x:f>IFERROR(VLOOKUP(A31,'کارمندان'!$A$5:$H$205,5,FALSE),0)</x:f>
      </x:c>
      <x:c r="D31" s="20" t="n">
        <x:f>SUMIFS('حضور و غیاب'!$J$5:$J$205,'حضور و غیاب'!$B$5:$B$205,$A31,'حضور و غیاب'!$A$5:$A$205,"&gt;="&amp;'تنظیمات'!$B$5,'حضور و غیاب'!$A$5:$A$205,"&lt;="&amp;'تنظیمات'!$B$6)</x:f>
        <x:v>0</x:v>
      </x:c>
      <x:c r="E31" s="20" t="n">
        <x:f>SUMIFS('حضور و غیاب'!$K$5:$K$205,'حضور و غیاب'!$B$5:$B$205,$A31,'حضور و غیاب'!$A$5:$A$205,"&gt;="&amp;'تنظیمات'!$B$5,'حضور و غیاب'!$A$5:$A$205,"&lt;="&amp;'تنظیمات'!$B$6)</x:f>
        <x:v>0</x:v>
      </x:c>
      <x:c r="F31" s="20" t="n">
        <x:f>SUMIFS('حضور و غیاب'!$G$5:$G$205,'حضور و غیاب'!$B$5:$B$205,$A31,'حضور و غیاب'!$F$5:$F$205,"Paid",'حضور و غیاب'!$A$5:$A$205,"&gt;="&amp;'تنظیمات'!$B$5,'حضور و غیاب'!$A$5:$A$205,"&lt;="&amp;'تنظیمات'!$B$6)</x:f>
        <x:v>0</x:v>
      </x:c>
      <x:c r="G31" s="20" t="n">
        <x:f>SUMIFS('حضور و غیاب'!$L$5:$L$205,'حضور و غیاب'!$B$5:$B$205,$A31,'حضور و غیاب'!$A$5:$A$205,"&gt;="&amp;'تنظیمات'!$B$5,'حضور و غیاب'!$A$5:$A$205,"&lt;="&amp;'تنظیمات'!$B$6)</x:f>
        <x:v>0</x:v>
      </x:c>
      <x:c r="H31" s="21" t="n">
        <x:f>ROUND(C31*D31,2)</x:f>
        <x:v>0</x:v>
      </x:c>
      <x:c r="I31" s="21" t="n">
        <x:f>ROUND(C31*E31*'تنظیمات'!$B$7,2)</x:f>
        <x:v>0</x:v>
      </x:c>
      <x:c r="J31" s="21" t="n">
        <x:f>ROUND(C31*F31,2)</x:f>
        <x:v>0</x:v>
      </x:c>
      <x:c r="K31" s="21" t="n">
        <x:f>ROUND((H31+I31+J31)*'تنظیمات'!$B$8,2)</x:f>
        <x:v>0</x:v>
      </x:c>
      <x:c r="L31" s="21" t="n">
        <x:f>SUM(H31:K31)</x:f>
        <x:v>0</x:v>
      </x:c>
      <x:c r="M31" s="21" t="n">
        <x:f>ROUND(MAX(0,L31-'تنظیمات'!$B$9)*'تنظیمات'!$B$10,2)</x:f>
        <x:v>0</x:v>
      </x:c>
      <x:c r="N31" s="21" t="n">
        <x:f>ROUND(MAX(0,L31*12-'تنظیمات'!$B$11)/12*'تنظیمات'!$B$12,2)</x:f>
        <x:v>0</x:v>
      </x:c>
      <x:c r="O31" s="21" t="n">
        <x:f>ROUND(L31*'تنظیمات'!$B$13,2)</x:f>
        <x:v>0</x:v>
      </x:c>
      <x:c r="P31" s="21" t="n">
        <x:f>ROUND((MIN(L31*12,'تنظیمات'!$B$17)*'تنظیمات'!$B$18+MAX(0,MIN(L31*12,'تنظیمات'!$B$19)-'تنظیمات'!$B$17)*'تنظیمات'!$B$20)/12,2)</x:f>
        <x:v>0</x:v>
      </x:c>
      <x:c r="Q31" s="21" t="n">
        <x:f>ROUND(MIN(L31*12,'تنظیمات'!$B$21)*'تنظیمات'!$B$22/12,2)</x:f>
        <x:v>0</x:v>
      </x:c>
      <x:c r="R31" s="21" t="n">
        <x:f>ROUND(MIN('تنظیمات'!$B$16,MAX(0,L31*12-'تنظیمات'!$B$14)*'تنظیمات'!$B$15)/12,2)</x:f>
        <x:v>0</x:v>
      </x:c>
      <x:c r="S31" s="21" t="n">
        <x:f>SUM(M31:R31)</x:f>
        <x:v>0</x:v>
      </x:c>
      <x:c r="T31" s="21" t="n">
        <x:f>L31-S31</x:f>
        <x:v>0</x:v>
      </x:c>
      <x:c r="U31" s="22" t="n">
        <x:f>'تنظیمات'!$B$5</x:f>
        <x:v>46266</x:v>
      </x:c>
      <x:c r="V31" s="22" t="n">
        <x:f>'تنظیمات'!$B$6</x:f>
        <x:v>46295</x:v>
      </x:c>
      <x:c r="W31" s="17" t="str">
        <x:f>IF(AND(A31&lt;&gt;"",T31&gt;=0),"OK","بررسی شود")</x:f>
        <x:v>بررسی شود</x:v>
      </x:c>
    </x:row>
    <x:row r="32">
      <x:c r="A32" s="13"/>
      <x:c r="B32" s="17" t="str">
        <x:f>IFERROR(VLOOKUP(A32,'کارمندان'!$A$5:$H$205,2,FALSE),"")</x:f>
      </x:c>
      <x:c r="C32" s="21" t="str">
        <x:f>IFERROR(VLOOKUP(A32,'کارمندان'!$A$5:$H$205,5,FALSE),0)</x:f>
      </x:c>
      <x:c r="D32" s="20" t="n">
        <x:f>SUMIFS('حضور و غیاب'!$J$5:$J$205,'حضور و غیاب'!$B$5:$B$205,$A32,'حضور و غیاب'!$A$5:$A$205,"&gt;="&amp;'تنظیمات'!$B$5,'حضور و غیاب'!$A$5:$A$205,"&lt;="&amp;'تنظیمات'!$B$6)</x:f>
        <x:v>0</x:v>
      </x:c>
      <x:c r="E32" s="20" t="n">
        <x:f>SUMIFS('حضور و غیاب'!$K$5:$K$205,'حضور و غیاب'!$B$5:$B$205,$A32,'حضور و غیاب'!$A$5:$A$205,"&gt;="&amp;'تنظیمات'!$B$5,'حضور و غیاب'!$A$5:$A$205,"&lt;="&amp;'تنظیمات'!$B$6)</x:f>
        <x:v>0</x:v>
      </x:c>
      <x:c r="F32" s="20" t="n">
        <x:f>SUMIFS('حضور و غیاب'!$G$5:$G$205,'حضور و غیاب'!$B$5:$B$205,$A32,'حضور و غیاب'!$F$5:$F$205,"Paid",'حضور و غیاب'!$A$5:$A$205,"&gt;="&amp;'تنظیمات'!$B$5,'حضور و غیاب'!$A$5:$A$205,"&lt;="&amp;'تنظیمات'!$B$6)</x:f>
        <x:v>0</x:v>
      </x:c>
      <x:c r="G32" s="20" t="n">
        <x:f>SUMIFS('حضور و غیاب'!$L$5:$L$205,'حضور و غیاب'!$B$5:$B$205,$A32,'حضور و غیاب'!$A$5:$A$205,"&gt;="&amp;'تنظیمات'!$B$5,'حضور و غیاب'!$A$5:$A$205,"&lt;="&amp;'تنظیمات'!$B$6)</x:f>
        <x:v>0</x:v>
      </x:c>
      <x:c r="H32" s="21" t="n">
        <x:f>ROUND(C32*D32,2)</x:f>
        <x:v>0</x:v>
      </x:c>
      <x:c r="I32" s="21" t="n">
        <x:f>ROUND(C32*E32*'تنظیمات'!$B$7,2)</x:f>
        <x:v>0</x:v>
      </x:c>
      <x:c r="J32" s="21" t="n">
        <x:f>ROUND(C32*F32,2)</x:f>
        <x:v>0</x:v>
      </x:c>
      <x:c r="K32" s="21" t="n">
        <x:f>ROUND((H32+I32+J32)*'تنظیمات'!$B$8,2)</x:f>
        <x:v>0</x:v>
      </x:c>
      <x:c r="L32" s="21" t="n">
        <x:f>SUM(H32:K32)</x:f>
        <x:v>0</x:v>
      </x:c>
      <x:c r="M32" s="21" t="n">
        <x:f>ROUND(MAX(0,L32-'تنظیمات'!$B$9)*'تنظیمات'!$B$10,2)</x:f>
        <x:v>0</x:v>
      </x:c>
      <x:c r="N32" s="21" t="n">
        <x:f>ROUND(MAX(0,L32*12-'تنظیمات'!$B$11)/12*'تنظیمات'!$B$12,2)</x:f>
        <x:v>0</x:v>
      </x:c>
      <x:c r="O32" s="21" t="n">
        <x:f>ROUND(L32*'تنظیمات'!$B$13,2)</x:f>
        <x:v>0</x:v>
      </x:c>
      <x:c r="P32" s="21" t="n">
        <x:f>ROUND((MIN(L32*12,'تنظیمات'!$B$17)*'تنظیمات'!$B$18+MAX(0,MIN(L32*12,'تنظیمات'!$B$19)-'تنظیمات'!$B$17)*'تنظیمات'!$B$20)/12,2)</x:f>
        <x:v>0</x:v>
      </x:c>
      <x:c r="Q32" s="21" t="n">
        <x:f>ROUND(MIN(L32*12,'تنظیمات'!$B$21)*'تنظیمات'!$B$22/12,2)</x:f>
        <x:v>0</x:v>
      </x:c>
      <x:c r="R32" s="21" t="n">
        <x:f>ROUND(MIN('تنظیمات'!$B$16,MAX(0,L32*12-'تنظیمات'!$B$14)*'تنظیمات'!$B$15)/12,2)</x:f>
        <x:v>0</x:v>
      </x:c>
      <x:c r="S32" s="21" t="n">
        <x:f>SUM(M32:R32)</x:f>
        <x:v>0</x:v>
      </x:c>
      <x:c r="T32" s="21" t="n">
        <x:f>L32-S32</x:f>
        <x:v>0</x:v>
      </x:c>
      <x:c r="U32" s="22" t="n">
        <x:f>'تنظیمات'!$B$5</x:f>
        <x:v>46266</x:v>
      </x:c>
      <x:c r="V32" s="22" t="n">
        <x:f>'تنظیمات'!$B$6</x:f>
        <x:v>46295</x:v>
      </x:c>
      <x:c r="W32" s="17" t="str">
        <x:f>IF(AND(A32&lt;&gt;"",T32&gt;=0),"OK","بررسی شود")</x:f>
        <x:v>بررسی شود</x:v>
      </x:c>
    </x:row>
    <x:row r="33">
      <x:c r="A33" s="13"/>
      <x:c r="B33" s="17" t="str">
        <x:f>IFERROR(VLOOKUP(A33,'کارمندان'!$A$5:$H$205,2,FALSE),"")</x:f>
      </x:c>
      <x:c r="C33" s="21" t="str">
        <x:f>IFERROR(VLOOKUP(A33,'کارمندان'!$A$5:$H$205,5,FALSE),0)</x:f>
      </x:c>
      <x:c r="D33" s="20" t="n">
        <x:f>SUMIFS('حضور و غیاب'!$J$5:$J$205,'حضور و غیاب'!$B$5:$B$205,$A33,'حضور و غیاب'!$A$5:$A$205,"&gt;="&amp;'تنظیمات'!$B$5,'حضور و غیاب'!$A$5:$A$205,"&lt;="&amp;'تنظیمات'!$B$6)</x:f>
        <x:v>0</x:v>
      </x:c>
      <x:c r="E33" s="20" t="n">
        <x:f>SUMIFS('حضور و غیاب'!$K$5:$K$205,'حضور و غیاب'!$B$5:$B$205,$A33,'حضور و غیاب'!$A$5:$A$205,"&gt;="&amp;'تنظیمات'!$B$5,'حضور و غیاب'!$A$5:$A$205,"&lt;="&amp;'تنظیمات'!$B$6)</x:f>
        <x:v>0</x:v>
      </x:c>
      <x:c r="F33" s="20" t="n">
        <x:f>SUMIFS('حضور و غیاب'!$G$5:$G$205,'حضور و غیاب'!$B$5:$B$205,$A33,'حضور و غیاب'!$F$5:$F$205,"Paid",'حضور و غیاب'!$A$5:$A$205,"&gt;="&amp;'تنظیمات'!$B$5,'حضور و غیاب'!$A$5:$A$205,"&lt;="&amp;'تنظیمات'!$B$6)</x:f>
        <x:v>0</x:v>
      </x:c>
      <x:c r="G33" s="20" t="n">
        <x:f>SUMIFS('حضور و غیاب'!$L$5:$L$205,'حضور و غیاب'!$B$5:$B$205,$A33,'حضور و غیاب'!$A$5:$A$205,"&gt;="&amp;'تنظیمات'!$B$5,'حضور و غیاب'!$A$5:$A$205,"&lt;="&amp;'تنظیمات'!$B$6)</x:f>
        <x:v>0</x:v>
      </x:c>
      <x:c r="H33" s="21" t="n">
        <x:f>ROUND(C33*D33,2)</x:f>
        <x:v>0</x:v>
      </x:c>
      <x:c r="I33" s="21" t="n">
        <x:f>ROUND(C33*E33*'تنظیمات'!$B$7,2)</x:f>
        <x:v>0</x:v>
      </x:c>
      <x:c r="J33" s="21" t="n">
        <x:f>ROUND(C33*F33,2)</x:f>
        <x:v>0</x:v>
      </x:c>
      <x:c r="K33" s="21" t="n">
        <x:f>ROUND((H33+I33+J33)*'تنظیمات'!$B$8,2)</x:f>
        <x:v>0</x:v>
      </x:c>
      <x:c r="L33" s="21" t="n">
        <x:f>SUM(H33:K33)</x:f>
        <x:v>0</x:v>
      </x:c>
      <x:c r="M33" s="21" t="n">
        <x:f>ROUND(MAX(0,L33-'تنظیمات'!$B$9)*'تنظیمات'!$B$10,2)</x:f>
        <x:v>0</x:v>
      </x:c>
      <x:c r="N33" s="21" t="n">
        <x:f>ROUND(MAX(0,L33*12-'تنظیمات'!$B$11)/12*'تنظیمات'!$B$12,2)</x:f>
        <x:v>0</x:v>
      </x:c>
      <x:c r="O33" s="21" t="n">
        <x:f>ROUND(L33*'تنظیمات'!$B$13,2)</x:f>
        <x:v>0</x:v>
      </x:c>
      <x:c r="P33" s="21" t="n">
        <x:f>ROUND((MIN(L33*12,'تنظیمات'!$B$17)*'تنظیمات'!$B$18+MAX(0,MIN(L33*12,'تنظیمات'!$B$19)-'تنظیمات'!$B$17)*'تنظیمات'!$B$20)/12,2)</x:f>
        <x:v>0</x:v>
      </x:c>
      <x:c r="Q33" s="21" t="n">
        <x:f>ROUND(MIN(L33*12,'تنظیمات'!$B$21)*'تنظیمات'!$B$22/12,2)</x:f>
        <x:v>0</x:v>
      </x:c>
      <x:c r="R33" s="21" t="n">
        <x:f>ROUND(MIN('تنظیمات'!$B$16,MAX(0,L33*12-'تنظیمات'!$B$14)*'تنظیمات'!$B$15)/12,2)</x:f>
        <x:v>0</x:v>
      </x:c>
      <x:c r="S33" s="21" t="n">
        <x:f>SUM(M33:R33)</x:f>
        <x:v>0</x:v>
      </x:c>
      <x:c r="T33" s="21" t="n">
        <x:f>L33-S33</x:f>
        <x:v>0</x:v>
      </x:c>
      <x:c r="U33" s="22" t="n">
        <x:f>'تنظیمات'!$B$5</x:f>
        <x:v>46266</x:v>
      </x:c>
      <x:c r="V33" s="22" t="n">
        <x:f>'تنظیمات'!$B$6</x:f>
        <x:v>46295</x:v>
      </x:c>
      <x:c r="W33" s="17" t="str">
        <x:f>IF(AND(A33&lt;&gt;"",T33&gt;=0),"OK","بررسی شود")</x:f>
        <x:v>بررسی شود</x:v>
      </x:c>
    </x:row>
    <x:row r="34">
      <x:c r="A34" s="13"/>
      <x:c r="B34" s="17" t="str">
        <x:f>IFERROR(VLOOKUP(A34,'کارمندان'!$A$5:$H$205,2,FALSE),"")</x:f>
      </x:c>
      <x:c r="C34" s="21" t="str">
        <x:f>IFERROR(VLOOKUP(A34,'کارمندان'!$A$5:$H$205,5,FALSE),0)</x:f>
      </x:c>
      <x:c r="D34" s="20" t="n">
        <x:f>SUMIFS('حضور و غیاب'!$J$5:$J$205,'حضور و غیاب'!$B$5:$B$205,$A34,'حضور و غیاب'!$A$5:$A$205,"&gt;="&amp;'تنظیمات'!$B$5,'حضور و غیاب'!$A$5:$A$205,"&lt;="&amp;'تنظیمات'!$B$6)</x:f>
        <x:v>0</x:v>
      </x:c>
      <x:c r="E34" s="20" t="n">
        <x:f>SUMIFS('حضور و غیاب'!$K$5:$K$205,'حضور و غیاب'!$B$5:$B$205,$A34,'حضور و غیاب'!$A$5:$A$205,"&gt;="&amp;'تنظیمات'!$B$5,'حضور و غیاب'!$A$5:$A$205,"&lt;="&amp;'تنظیمات'!$B$6)</x:f>
        <x:v>0</x:v>
      </x:c>
      <x:c r="F34" s="20" t="n">
        <x:f>SUMIFS('حضور و غیاب'!$G$5:$G$205,'حضور و غیاب'!$B$5:$B$205,$A34,'حضور و غیاب'!$F$5:$F$205,"Paid",'حضور و غیاب'!$A$5:$A$205,"&gt;="&amp;'تنظیمات'!$B$5,'حضور و غیاب'!$A$5:$A$205,"&lt;="&amp;'تنظیمات'!$B$6)</x:f>
        <x:v>0</x:v>
      </x:c>
      <x:c r="G34" s="20" t="n">
        <x:f>SUMIFS('حضور و غیاب'!$L$5:$L$205,'حضور و غیاب'!$B$5:$B$205,$A34,'حضور و غیاب'!$A$5:$A$205,"&gt;="&amp;'تنظیمات'!$B$5,'حضور و غیاب'!$A$5:$A$205,"&lt;="&amp;'تنظیمات'!$B$6)</x:f>
        <x:v>0</x:v>
      </x:c>
      <x:c r="H34" s="21" t="n">
        <x:f>ROUND(C34*D34,2)</x:f>
        <x:v>0</x:v>
      </x:c>
      <x:c r="I34" s="21" t="n">
        <x:f>ROUND(C34*E34*'تنظیمات'!$B$7,2)</x:f>
        <x:v>0</x:v>
      </x:c>
      <x:c r="J34" s="21" t="n">
        <x:f>ROUND(C34*F34,2)</x:f>
        <x:v>0</x:v>
      </x:c>
      <x:c r="K34" s="21" t="n">
        <x:f>ROUND((H34+I34+J34)*'تنظیمات'!$B$8,2)</x:f>
        <x:v>0</x:v>
      </x:c>
      <x:c r="L34" s="21" t="n">
        <x:f>SUM(H34:K34)</x:f>
        <x:v>0</x:v>
      </x:c>
      <x:c r="M34" s="21" t="n">
        <x:f>ROUND(MAX(0,L34-'تنظیمات'!$B$9)*'تنظیمات'!$B$10,2)</x:f>
        <x:v>0</x:v>
      </x:c>
      <x:c r="N34" s="21" t="n">
        <x:f>ROUND(MAX(0,L34*12-'تنظیمات'!$B$11)/12*'تنظیمات'!$B$12,2)</x:f>
        <x:v>0</x:v>
      </x:c>
      <x:c r="O34" s="21" t="n">
        <x:f>ROUND(L34*'تنظیمات'!$B$13,2)</x:f>
        <x:v>0</x:v>
      </x:c>
      <x:c r="P34" s="21" t="n">
        <x:f>ROUND((MIN(L34*12,'تنظیمات'!$B$17)*'تنظیمات'!$B$18+MAX(0,MIN(L34*12,'تنظیمات'!$B$19)-'تنظیمات'!$B$17)*'تنظیمات'!$B$20)/12,2)</x:f>
        <x:v>0</x:v>
      </x:c>
      <x:c r="Q34" s="21" t="n">
        <x:f>ROUND(MIN(L34*12,'تنظیمات'!$B$21)*'تنظیمات'!$B$22/12,2)</x:f>
        <x:v>0</x:v>
      </x:c>
      <x:c r="R34" s="21" t="n">
        <x:f>ROUND(MIN('تنظیمات'!$B$16,MAX(0,L34*12-'تنظیمات'!$B$14)*'تنظیمات'!$B$15)/12,2)</x:f>
        <x:v>0</x:v>
      </x:c>
      <x:c r="S34" s="21" t="n">
        <x:f>SUM(M34:R34)</x:f>
        <x:v>0</x:v>
      </x:c>
      <x:c r="T34" s="21" t="n">
        <x:f>L34-S34</x:f>
        <x:v>0</x:v>
      </x:c>
      <x:c r="U34" s="22" t="n">
        <x:f>'تنظیمات'!$B$5</x:f>
        <x:v>46266</x:v>
      </x:c>
      <x:c r="V34" s="22" t="n">
        <x:f>'تنظیمات'!$B$6</x:f>
        <x:v>46295</x:v>
      </x:c>
      <x:c r="W34" s="17" t="str">
        <x:f>IF(AND(A34&lt;&gt;"",T34&gt;=0),"OK","بررسی شود")</x:f>
        <x:v>بررسی شود</x:v>
      </x:c>
    </x:row>
    <x:row r="35">
      <x:c r="A35" s="13"/>
      <x:c r="B35" s="17" t="str">
        <x:f>IFERROR(VLOOKUP(A35,'کارمندان'!$A$5:$H$205,2,FALSE),"")</x:f>
      </x:c>
      <x:c r="C35" s="21" t="str">
        <x:f>IFERROR(VLOOKUP(A35,'کارمندان'!$A$5:$H$205,5,FALSE),0)</x:f>
      </x:c>
      <x:c r="D35" s="20" t="n">
        <x:f>SUMIFS('حضور و غیاب'!$J$5:$J$205,'حضور و غیاب'!$B$5:$B$205,$A35,'حضور و غیاب'!$A$5:$A$205,"&gt;="&amp;'تنظیمات'!$B$5,'حضور و غیاب'!$A$5:$A$205,"&lt;="&amp;'تنظیمات'!$B$6)</x:f>
        <x:v>0</x:v>
      </x:c>
      <x:c r="E35" s="20" t="n">
        <x:f>SUMIFS('حضور و غیاب'!$K$5:$K$205,'حضور و غیاب'!$B$5:$B$205,$A35,'حضور و غیاب'!$A$5:$A$205,"&gt;="&amp;'تنظیمات'!$B$5,'حضور و غیاب'!$A$5:$A$205,"&lt;="&amp;'تنظیمات'!$B$6)</x:f>
        <x:v>0</x:v>
      </x:c>
      <x:c r="F35" s="20" t="n">
        <x:f>SUMIFS('حضور و غیاب'!$G$5:$G$205,'حضور و غیاب'!$B$5:$B$205,$A35,'حضور و غیاب'!$F$5:$F$205,"Paid",'حضور و غیاب'!$A$5:$A$205,"&gt;="&amp;'تنظیمات'!$B$5,'حضور و غیاب'!$A$5:$A$205,"&lt;="&amp;'تنظیمات'!$B$6)</x:f>
        <x:v>0</x:v>
      </x:c>
      <x:c r="G35" s="20" t="n">
        <x:f>SUMIFS('حضور و غیاب'!$L$5:$L$205,'حضور و غیاب'!$B$5:$B$205,$A35,'حضور و غیاب'!$A$5:$A$205,"&gt;="&amp;'تنظیمات'!$B$5,'حضور و غیاب'!$A$5:$A$205,"&lt;="&amp;'تنظیمات'!$B$6)</x:f>
        <x:v>0</x:v>
      </x:c>
      <x:c r="H35" s="21" t="n">
        <x:f>ROUND(C35*D35,2)</x:f>
        <x:v>0</x:v>
      </x:c>
      <x:c r="I35" s="21" t="n">
        <x:f>ROUND(C35*E35*'تنظیمات'!$B$7,2)</x:f>
        <x:v>0</x:v>
      </x:c>
      <x:c r="J35" s="21" t="n">
        <x:f>ROUND(C35*F35,2)</x:f>
        <x:v>0</x:v>
      </x:c>
      <x:c r="K35" s="21" t="n">
        <x:f>ROUND((H35+I35+J35)*'تنظیمات'!$B$8,2)</x:f>
        <x:v>0</x:v>
      </x:c>
      <x:c r="L35" s="21" t="n">
        <x:f>SUM(H35:K35)</x:f>
        <x:v>0</x:v>
      </x:c>
      <x:c r="M35" s="21" t="n">
        <x:f>ROUND(MAX(0,L35-'تنظیمات'!$B$9)*'تنظیمات'!$B$10,2)</x:f>
        <x:v>0</x:v>
      </x:c>
      <x:c r="N35" s="21" t="n">
        <x:f>ROUND(MAX(0,L35*12-'تنظیمات'!$B$11)/12*'تنظیمات'!$B$12,2)</x:f>
        <x:v>0</x:v>
      </x:c>
      <x:c r="O35" s="21" t="n">
        <x:f>ROUND(L35*'تنظیمات'!$B$13,2)</x:f>
        <x:v>0</x:v>
      </x:c>
      <x:c r="P35" s="21" t="n">
        <x:f>ROUND((MIN(L35*12,'تنظیمات'!$B$17)*'تنظیمات'!$B$18+MAX(0,MIN(L35*12,'تنظیمات'!$B$19)-'تنظیمات'!$B$17)*'تنظیمات'!$B$20)/12,2)</x:f>
        <x:v>0</x:v>
      </x:c>
      <x:c r="Q35" s="21" t="n">
        <x:f>ROUND(MIN(L35*12,'تنظیمات'!$B$21)*'تنظیمات'!$B$22/12,2)</x:f>
        <x:v>0</x:v>
      </x:c>
      <x:c r="R35" s="21" t="n">
        <x:f>ROUND(MIN('تنظیمات'!$B$16,MAX(0,L35*12-'تنظیمات'!$B$14)*'تنظیمات'!$B$15)/12,2)</x:f>
        <x:v>0</x:v>
      </x:c>
      <x:c r="S35" s="21" t="n">
        <x:f>SUM(M35:R35)</x:f>
        <x:v>0</x:v>
      </x:c>
      <x:c r="T35" s="21" t="n">
        <x:f>L35-S35</x:f>
        <x:v>0</x:v>
      </x:c>
      <x:c r="U35" s="22" t="n">
        <x:f>'تنظیمات'!$B$5</x:f>
        <x:v>46266</x:v>
      </x:c>
      <x:c r="V35" s="22" t="n">
        <x:f>'تنظیمات'!$B$6</x:f>
        <x:v>46295</x:v>
      </x:c>
      <x:c r="W35" s="17" t="str">
        <x:f>IF(AND(A35&lt;&gt;"",T35&gt;=0),"OK","بررسی شود")</x:f>
        <x:v>بررسی شود</x:v>
      </x:c>
    </x:row>
    <x:row r="36">
      <x:c r="A36" s="13"/>
      <x:c r="B36" s="17" t="str">
        <x:f>IFERROR(VLOOKUP(A36,'کارمندان'!$A$5:$H$205,2,FALSE),"")</x:f>
      </x:c>
      <x:c r="C36" s="21" t="str">
        <x:f>IFERROR(VLOOKUP(A36,'کارمندان'!$A$5:$H$205,5,FALSE),0)</x:f>
      </x:c>
      <x:c r="D36" s="20" t="n">
        <x:f>SUMIFS('حضور و غیاب'!$J$5:$J$205,'حضور و غیاب'!$B$5:$B$205,$A36,'حضور و غیاب'!$A$5:$A$205,"&gt;="&amp;'تنظیمات'!$B$5,'حضور و غیاب'!$A$5:$A$205,"&lt;="&amp;'تنظیمات'!$B$6)</x:f>
        <x:v>0</x:v>
      </x:c>
      <x:c r="E36" s="20" t="n">
        <x:f>SUMIFS('حضور و غیاب'!$K$5:$K$205,'حضور و غیاب'!$B$5:$B$205,$A36,'حضور و غیاب'!$A$5:$A$205,"&gt;="&amp;'تنظیمات'!$B$5,'حضور و غیاب'!$A$5:$A$205,"&lt;="&amp;'تنظیمات'!$B$6)</x:f>
        <x:v>0</x:v>
      </x:c>
      <x:c r="F36" s="20" t="n">
        <x:f>SUMIFS('حضور و غیاب'!$G$5:$G$205,'حضور و غیاب'!$B$5:$B$205,$A36,'حضور و غیاب'!$F$5:$F$205,"Paid",'حضور و غیاب'!$A$5:$A$205,"&gt;="&amp;'تنظیمات'!$B$5,'حضور و غیاب'!$A$5:$A$205,"&lt;="&amp;'تنظیمات'!$B$6)</x:f>
        <x:v>0</x:v>
      </x:c>
      <x:c r="G36" s="20" t="n">
        <x:f>SUMIFS('حضور و غیاب'!$L$5:$L$205,'حضور و غیاب'!$B$5:$B$205,$A36,'حضور و غیاب'!$A$5:$A$205,"&gt;="&amp;'تنظیمات'!$B$5,'حضور و غیاب'!$A$5:$A$205,"&lt;="&amp;'تنظیمات'!$B$6)</x:f>
        <x:v>0</x:v>
      </x:c>
      <x:c r="H36" s="21" t="n">
        <x:f>ROUND(C36*D36,2)</x:f>
        <x:v>0</x:v>
      </x:c>
      <x:c r="I36" s="21" t="n">
        <x:f>ROUND(C36*E36*'تنظیمات'!$B$7,2)</x:f>
        <x:v>0</x:v>
      </x:c>
      <x:c r="J36" s="21" t="n">
        <x:f>ROUND(C36*F36,2)</x:f>
        <x:v>0</x:v>
      </x:c>
      <x:c r="K36" s="21" t="n">
        <x:f>ROUND((H36+I36+J36)*'تنظیمات'!$B$8,2)</x:f>
        <x:v>0</x:v>
      </x:c>
      <x:c r="L36" s="21" t="n">
        <x:f>SUM(H36:K36)</x:f>
        <x:v>0</x:v>
      </x:c>
      <x:c r="M36" s="21" t="n">
        <x:f>ROUND(MAX(0,L36-'تنظیمات'!$B$9)*'تنظیمات'!$B$10,2)</x:f>
        <x:v>0</x:v>
      </x:c>
      <x:c r="N36" s="21" t="n">
        <x:f>ROUND(MAX(0,L36*12-'تنظیمات'!$B$11)/12*'تنظیمات'!$B$12,2)</x:f>
        <x:v>0</x:v>
      </x:c>
      <x:c r="O36" s="21" t="n">
        <x:f>ROUND(L36*'تنظیمات'!$B$13,2)</x:f>
        <x:v>0</x:v>
      </x:c>
      <x:c r="P36" s="21" t="n">
        <x:f>ROUND((MIN(L36*12,'تنظیمات'!$B$17)*'تنظیمات'!$B$18+MAX(0,MIN(L36*12,'تنظیمات'!$B$19)-'تنظیمات'!$B$17)*'تنظیمات'!$B$20)/12,2)</x:f>
        <x:v>0</x:v>
      </x:c>
      <x:c r="Q36" s="21" t="n">
        <x:f>ROUND(MIN(L36*12,'تنظیمات'!$B$21)*'تنظیمات'!$B$22/12,2)</x:f>
        <x:v>0</x:v>
      </x:c>
      <x:c r="R36" s="21" t="n">
        <x:f>ROUND(MIN('تنظیمات'!$B$16,MAX(0,L36*12-'تنظیمات'!$B$14)*'تنظیمات'!$B$15)/12,2)</x:f>
        <x:v>0</x:v>
      </x:c>
      <x:c r="S36" s="21" t="n">
        <x:f>SUM(M36:R36)</x:f>
        <x:v>0</x:v>
      </x:c>
      <x:c r="T36" s="21" t="n">
        <x:f>L36-S36</x:f>
        <x:v>0</x:v>
      </x:c>
      <x:c r="U36" s="22" t="n">
        <x:f>'تنظیمات'!$B$5</x:f>
        <x:v>46266</x:v>
      </x:c>
      <x:c r="V36" s="22" t="n">
        <x:f>'تنظیمات'!$B$6</x:f>
        <x:v>46295</x:v>
      </x:c>
      <x:c r="W36" s="17" t="str">
        <x:f>IF(AND(A36&lt;&gt;"",T36&gt;=0),"OK","بررسی شود")</x:f>
        <x:v>بررسی شود</x:v>
      </x:c>
    </x:row>
    <x:row r="37">
      <x:c r="A37" s="13"/>
      <x:c r="B37" s="17" t="str">
        <x:f>IFERROR(VLOOKUP(A37,'کارمندان'!$A$5:$H$205,2,FALSE),"")</x:f>
      </x:c>
      <x:c r="C37" s="21" t="str">
        <x:f>IFERROR(VLOOKUP(A37,'کارمندان'!$A$5:$H$205,5,FALSE),0)</x:f>
      </x:c>
      <x:c r="D37" s="20" t="n">
        <x:f>SUMIFS('حضور و غیاب'!$J$5:$J$205,'حضور و غیاب'!$B$5:$B$205,$A37,'حضور و غیاب'!$A$5:$A$205,"&gt;="&amp;'تنظیمات'!$B$5,'حضور و غیاب'!$A$5:$A$205,"&lt;="&amp;'تنظیمات'!$B$6)</x:f>
        <x:v>0</x:v>
      </x:c>
      <x:c r="E37" s="20" t="n">
        <x:f>SUMIFS('حضور و غیاب'!$K$5:$K$205,'حضور و غیاب'!$B$5:$B$205,$A37,'حضور و غیاب'!$A$5:$A$205,"&gt;="&amp;'تنظیمات'!$B$5,'حضور و غیاب'!$A$5:$A$205,"&lt;="&amp;'تنظیمات'!$B$6)</x:f>
        <x:v>0</x:v>
      </x:c>
      <x:c r="F37" s="20" t="n">
        <x:f>SUMIFS('حضور و غیاب'!$G$5:$G$205,'حضور و غیاب'!$B$5:$B$205,$A37,'حضور و غیاب'!$F$5:$F$205,"Paid",'حضور و غیاب'!$A$5:$A$205,"&gt;="&amp;'تنظیمات'!$B$5,'حضور و غیاب'!$A$5:$A$205,"&lt;="&amp;'تنظیمات'!$B$6)</x:f>
        <x:v>0</x:v>
      </x:c>
      <x:c r="G37" s="20" t="n">
        <x:f>SUMIFS('حضور و غیاب'!$L$5:$L$205,'حضور و غیاب'!$B$5:$B$205,$A37,'حضور و غیاب'!$A$5:$A$205,"&gt;="&amp;'تنظیمات'!$B$5,'حضور و غیاب'!$A$5:$A$205,"&lt;="&amp;'تنظیمات'!$B$6)</x:f>
        <x:v>0</x:v>
      </x:c>
      <x:c r="H37" s="21" t="n">
        <x:f>ROUND(C37*D37,2)</x:f>
        <x:v>0</x:v>
      </x:c>
      <x:c r="I37" s="21" t="n">
        <x:f>ROUND(C37*E37*'تنظیمات'!$B$7,2)</x:f>
        <x:v>0</x:v>
      </x:c>
      <x:c r="J37" s="21" t="n">
        <x:f>ROUND(C37*F37,2)</x:f>
        <x:v>0</x:v>
      </x:c>
      <x:c r="K37" s="21" t="n">
        <x:f>ROUND((H37+I37+J37)*'تنظیمات'!$B$8,2)</x:f>
        <x:v>0</x:v>
      </x:c>
      <x:c r="L37" s="21" t="n">
        <x:f>SUM(H37:K37)</x:f>
        <x:v>0</x:v>
      </x:c>
      <x:c r="M37" s="21" t="n">
        <x:f>ROUND(MAX(0,L37-'تنظیمات'!$B$9)*'تنظیمات'!$B$10,2)</x:f>
        <x:v>0</x:v>
      </x:c>
      <x:c r="N37" s="21" t="n">
        <x:f>ROUND(MAX(0,L37*12-'تنظیمات'!$B$11)/12*'تنظیمات'!$B$12,2)</x:f>
        <x:v>0</x:v>
      </x:c>
      <x:c r="O37" s="21" t="n">
        <x:f>ROUND(L37*'تنظیمات'!$B$13,2)</x:f>
        <x:v>0</x:v>
      </x:c>
      <x:c r="P37" s="21" t="n">
        <x:f>ROUND((MIN(L37*12,'تنظیمات'!$B$17)*'تنظیمات'!$B$18+MAX(0,MIN(L37*12,'تنظیمات'!$B$19)-'تنظیمات'!$B$17)*'تنظیمات'!$B$20)/12,2)</x:f>
        <x:v>0</x:v>
      </x:c>
      <x:c r="Q37" s="21" t="n">
        <x:f>ROUND(MIN(L37*12,'تنظیمات'!$B$21)*'تنظیمات'!$B$22/12,2)</x:f>
        <x:v>0</x:v>
      </x:c>
      <x:c r="R37" s="21" t="n">
        <x:f>ROUND(MIN('تنظیمات'!$B$16,MAX(0,L37*12-'تنظیمات'!$B$14)*'تنظیمات'!$B$15)/12,2)</x:f>
        <x:v>0</x:v>
      </x:c>
      <x:c r="S37" s="21" t="n">
        <x:f>SUM(M37:R37)</x:f>
        <x:v>0</x:v>
      </x:c>
      <x:c r="T37" s="21" t="n">
        <x:f>L37-S37</x:f>
        <x:v>0</x:v>
      </x:c>
      <x:c r="U37" s="22" t="n">
        <x:f>'تنظیمات'!$B$5</x:f>
        <x:v>46266</x:v>
      </x:c>
      <x:c r="V37" s="22" t="n">
        <x:f>'تنظیمات'!$B$6</x:f>
        <x:v>46295</x:v>
      </x:c>
      <x:c r="W37" s="17" t="str">
        <x:f>IF(AND(A37&lt;&gt;"",T37&gt;=0),"OK","بررسی شود")</x:f>
        <x:v>بررسی شود</x:v>
      </x:c>
    </x:row>
    <x:row r="38">
      <x:c r="A38" s="13"/>
      <x:c r="B38" s="17" t="str">
        <x:f>IFERROR(VLOOKUP(A38,'کارمندان'!$A$5:$H$205,2,FALSE),"")</x:f>
      </x:c>
      <x:c r="C38" s="21" t="str">
        <x:f>IFERROR(VLOOKUP(A38,'کارمندان'!$A$5:$H$205,5,FALSE),0)</x:f>
      </x:c>
      <x:c r="D38" s="20" t="n">
        <x:f>SUMIFS('حضور و غیاب'!$J$5:$J$205,'حضور و غیاب'!$B$5:$B$205,$A38,'حضور و غیاب'!$A$5:$A$205,"&gt;="&amp;'تنظیمات'!$B$5,'حضور و غیاب'!$A$5:$A$205,"&lt;="&amp;'تنظیمات'!$B$6)</x:f>
        <x:v>0</x:v>
      </x:c>
      <x:c r="E38" s="20" t="n">
        <x:f>SUMIFS('حضور و غیاب'!$K$5:$K$205,'حضور و غیاب'!$B$5:$B$205,$A38,'حضور و غیاب'!$A$5:$A$205,"&gt;="&amp;'تنظیمات'!$B$5,'حضور و غیاب'!$A$5:$A$205,"&lt;="&amp;'تنظیمات'!$B$6)</x:f>
        <x:v>0</x:v>
      </x:c>
      <x:c r="F38" s="20" t="n">
        <x:f>SUMIFS('حضور و غیاب'!$G$5:$G$205,'حضور و غیاب'!$B$5:$B$205,$A38,'حضور و غیاب'!$F$5:$F$205,"Paid",'حضور و غیاب'!$A$5:$A$205,"&gt;="&amp;'تنظیمات'!$B$5,'حضور و غیاب'!$A$5:$A$205,"&lt;="&amp;'تنظیمات'!$B$6)</x:f>
        <x:v>0</x:v>
      </x:c>
      <x:c r="G38" s="20" t="n">
        <x:f>SUMIFS('حضور و غیاب'!$L$5:$L$205,'حضور و غیاب'!$B$5:$B$205,$A38,'حضور و غیاب'!$A$5:$A$205,"&gt;="&amp;'تنظیمات'!$B$5,'حضور و غیاب'!$A$5:$A$205,"&lt;="&amp;'تنظیمات'!$B$6)</x:f>
        <x:v>0</x:v>
      </x:c>
      <x:c r="H38" s="21" t="n">
        <x:f>ROUND(C38*D38,2)</x:f>
        <x:v>0</x:v>
      </x:c>
      <x:c r="I38" s="21" t="n">
        <x:f>ROUND(C38*E38*'تنظیمات'!$B$7,2)</x:f>
        <x:v>0</x:v>
      </x:c>
      <x:c r="J38" s="21" t="n">
        <x:f>ROUND(C38*F38,2)</x:f>
        <x:v>0</x:v>
      </x:c>
      <x:c r="K38" s="21" t="n">
        <x:f>ROUND((H38+I38+J38)*'تنظیمات'!$B$8,2)</x:f>
        <x:v>0</x:v>
      </x:c>
      <x:c r="L38" s="21" t="n">
        <x:f>SUM(H38:K38)</x:f>
        <x:v>0</x:v>
      </x:c>
      <x:c r="M38" s="21" t="n">
        <x:f>ROUND(MAX(0,L38-'تنظیمات'!$B$9)*'تنظیمات'!$B$10,2)</x:f>
        <x:v>0</x:v>
      </x:c>
      <x:c r="N38" s="21" t="n">
        <x:f>ROUND(MAX(0,L38*12-'تنظیمات'!$B$11)/12*'تنظیمات'!$B$12,2)</x:f>
        <x:v>0</x:v>
      </x:c>
      <x:c r="O38" s="21" t="n">
        <x:f>ROUND(L38*'تنظیمات'!$B$13,2)</x:f>
        <x:v>0</x:v>
      </x:c>
      <x:c r="P38" s="21" t="n">
        <x:f>ROUND((MIN(L38*12,'تنظیمات'!$B$17)*'تنظیمات'!$B$18+MAX(0,MIN(L38*12,'تنظیمات'!$B$19)-'تنظیمات'!$B$17)*'تنظیمات'!$B$20)/12,2)</x:f>
        <x:v>0</x:v>
      </x:c>
      <x:c r="Q38" s="21" t="n">
        <x:f>ROUND(MIN(L38*12,'تنظیمات'!$B$21)*'تنظیمات'!$B$22/12,2)</x:f>
        <x:v>0</x:v>
      </x:c>
      <x:c r="R38" s="21" t="n">
        <x:f>ROUND(MIN('تنظیمات'!$B$16,MAX(0,L38*12-'تنظیمات'!$B$14)*'تنظیمات'!$B$15)/12,2)</x:f>
        <x:v>0</x:v>
      </x:c>
      <x:c r="S38" s="21" t="n">
        <x:f>SUM(M38:R38)</x:f>
        <x:v>0</x:v>
      </x:c>
      <x:c r="T38" s="21" t="n">
        <x:f>L38-S38</x:f>
        <x:v>0</x:v>
      </x:c>
      <x:c r="U38" s="22" t="n">
        <x:f>'تنظیمات'!$B$5</x:f>
        <x:v>46266</x:v>
      </x:c>
      <x:c r="V38" s="22" t="n">
        <x:f>'تنظیمات'!$B$6</x:f>
        <x:v>46295</x:v>
      </x:c>
      <x:c r="W38" s="17" t="str">
        <x:f>IF(AND(A38&lt;&gt;"",T38&gt;=0),"OK","بررسی شود")</x:f>
        <x:v>بررسی شود</x:v>
      </x:c>
    </x:row>
    <x:row r="39">
      <x:c r="A39" s="13"/>
      <x:c r="B39" s="17" t="str">
        <x:f>IFERROR(VLOOKUP(A39,'کارمندان'!$A$5:$H$205,2,FALSE),"")</x:f>
      </x:c>
      <x:c r="C39" s="21" t="str">
        <x:f>IFERROR(VLOOKUP(A39,'کارمندان'!$A$5:$H$205,5,FALSE),0)</x:f>
      </x:c>
      <x:c r="D39" s="20" t="n">
        <x:f>SUMIFS('حضور و غیاب'!$J$5:$J$205,'حضور و غیاب'!$B$5:$B$205,$A39,'حضور و غیاب'!$A$5:$A$205,"&gt;="&amp;'تنظیمات'!$B$5,'حضور و غیاب'!$A$5:$A$205,"&lt;="&amp;'تنظیمات'!$B$6)</x:f>
        <x:v>0</x:v>
      </x:c>
      <x:c r="E39" s="20" t="n">
        <x:f>SUMIFS('حضور و غیاب'!$K$5:$K$205,'حضور و غیاب'!$B$5:$B$205,$A39,'حضور و غیاب'!$A$5:$A$205,"&gt;="&amp;'تنظیمات'!$B$5,'حضور و غیاب'!$A$5:$A$205,"&lt;="&amp;'تنظیمات'!$B$6)</x:f>
        <x:v>0</x:v>
      </x:c>
      <x:c r="F39" s="20" t="n">
        <x:f>SUMIFS('حضور و غیاب'!$G$5:$G$205,'حضور و غیاب'!$B$5:$B$205,$A39,'حضور و غیاب'!$F$5:$F$205,"Paid",'حضور و غیاب'!$A$5:$A$205,"&gt;="&amp;'تنظیمات'!$B$5,'حضور و غیاب'!$A$5:$A$205,"&lt;="&amp;'تنظیمات'!$B$6)</x:f>
        <x:v>0</x:v>
      </x:c>
      <x:c r="G39" s="20" t="n">
        <x:f>SUMIFS('حضور و غیاب'!$L$5:$L$205,'حضور و غیاب'!$B$5:$B$205,$A39,'حضور و غیاب'!$A$5:$A$205,"&gt;="&amp;'تنظیمات'!$B$5,'حضور و غیاب'!$A$5:$A$205,"&lt;="&amp;'تنظیمات'!$B$6)</x:f>
        <x:v>0</x:v>
      </x:c>
      <x:c r="H39" s="21" t="n">
        <x:f>ROUND(C39*D39,2)</x:f>
        <x:v>0</x:v>
      </x:c>
      <x:c r="I39" s="21" t="n">
        <x:f>ROUND(C39*E39*'تنظیمات'!$B$7,2)</x:f>
        <x:v>0</x:v>
      </x:c>
      <x:c r="J39" s="21" t="n">
        <x:f>ROUND(C39*F39,2)</x:f>
        <x:v>0</x:v>
      </x:c>
      <x:c r="K39" s="21" t="n">
        <x:f>ROUND((H39+I39+J39)*'تنظیمات'!$B$8,2)</x:f>
        <x:v>0</x:v>
      </x:c>
      <x:c r="L39" s="21" t="n">
        <x:f>SUM(H39:K39)</x:f>
        <x:v>0</x:v>
      </x:c>
      <x:c r="M39" s="21" t="n">
        <x:f>ROUND(MAX(0,L39-'تنظیمات'!$B$9)*'تنظیمات'!$B$10,2)</x:f>
        <x:v>0</x:v>
      </x:c>
      <x:c r="N39" s="21" t="n">
        <x:f>ROUND(MAX(0,L39*12-'تنظیمات'!$B$11)/12*'تنظیمات'!$B$12,2)</x:f>
        <x:v>0</x:v>
      </x:c>
      <x:c r="O39" s="21" t="n">
        <x:f>ROUND(L39*'تنظیمات'!$B$13,2)</x:f>
        <x:v>0</x:v>
      </x:c>
      <x:c r="P39" s="21" t="n">
        <x:f>ROUND((MIN(L39*12,'تنظیمات'!$B$17)*'تنظیمات'!$B$18+MAX(0,MIN(L39*12,'تنظیمات'!$B$19)-'تنظیمات'!$B$17)*'تنظیمات'!$B$20)/12,2)</x:f>
        <x:v>0</x:v>
      </x:c>
      <x:c r="Q39" s="21" t="n">
        <x:f>ROUND(MIN(L39*12,'تنظیمات'!$B$21)*'تنظیمات'!$B$22/12,2)</x:f>
        <x:v>0</x:v>
      </x:c>
      <x:c r="R39" s="21" t="n">
        <x:f>ROUND(MIN('تنظیمات'!$B$16,MAX(0,L39*12-'تنظیمات'!$B$14)*'تنظیمات'!$B$15)/12,2)</x:f>
        <x:v>0</x:v>
      </x:c>
      <x:c r="S39" s="21" t="n">
        <x:f>SUM(M39:R39)</x:f>
        <x:v>0</x:v>
      </x:c>
      <x:c r="T39" s="21" t="n">
        <x:f>L39-S39</x:f>
        <x:v>0</x:v>
      </x:c>
      <x:c r="U39" s="22" t="n">
        <x:f>'تنظیمات'!$B$5</x:f>
        <x:v>46266</x:v>
      </x:c>
      <x:c r="V39" s="22" t="n">
        <x:f>'تنظیمات'!$B$6</x:f>
        <x:v>46295</x:v>
      </x:c>
      <x:c r="W39" s="17" t="str">
        <x:f>IF(AND(A39&lt;&gt;"",T39&gt;=0),"OK","بررسی شود")</x:f>
        <x:v>بررسی شود</x:v>
      </x:c>
    </x:row>
    <x:row r="40">
      <x:c r="A40" s="13"/>
      <x:c r="B40" s="17" t="str">
        <x:f>IFERROR(VLOOKUP(A40,'کارمندان'!$A$5:$H$205,2,FALSE),"")</x:f>
      </x:c>
      <x:c r="C40" s="21" t="str">
        <x:f>IFERROR(VLOOKUP(A40,'کارمندان'!$A$5:$H$205,5,FALSE),0)</x:f>
      </x:c>
      <x:c r="D40" s="20" t="n">
        <x:f>SUMIFS('حضور و غیاب'!$J$5:$J$205,'حضور و غیاب'!$B$5:$B$205,$A40,'حضور و غیاب'!$A$5:$A$205,"&gt;="&amp;'تنظیمات'!$B$5,'حضور و غیاب'!$A$5:$A$205,"&lt;="&amp;'تنظیمات'!$B$6)</x:f>
        <x:v>0</x:v>
      </x:c>
      <x:c r="E40" s="20" t="n">
        <x:f>SUMIFS('حضور و غیاب'!$K$5:$K$205,'حضور و غیاب'!$B$5:$B$205,$A40,'حضور و غیاب'!$A$5:$A$205,"&gt;="&amp;'تنظیمات'!$B$5,'حضور و غیاب'!$A$5:$A$205,"&lt;="&amp;'تنظیمات'!$B$6)</x:f>
        <x:v>0</x:v>
      </x:c>
      <x:c r="F40" s="20" t="n">
        <x:f>SUMIFS('حضور و غیاب'!$G$5:$G$205,'حضور و غیاب'!$B$5:$B$205,$A40,'حضور و غیاب'!$F$5:$F$205,"Paid",'حضور و غیاب'!$A$5:$A$205,"&gt;="&amp;'تنظیمات'!$B$5,'حضور و غیاب'!$A$5:$A$205,"&lt;="&amp;'تنظیمات'!$B$6)</x:f>
        <x:v>0</x:v>
      </x:c>
      <x:c r="G40" s="20" t="n">
        <x:f>SUMIFS('حضور و غیاب'!$L$5:$L$205,'حضور و غیاب'!$B$5:$B$205,$A40,'حضور و غیاب'!$A$5:$A$205,"&gt;="&amp;'تنظیمات'!$B$5,'حضور و غیاب'!$A$5:$A$205,"&lt;="&amp;'تنظیمات'!$B$6)</x:f>
        <x:v>0</x:v>
      </x:c>
      <x:c r="H40" s="21" t="n">
        <x:f>ROUND(C40*D40,2)</x:f>
        <x:v>0</x:v>
      </x:c>
      <x:c r="I40" s="21" t="n">
        <x:f>ROUND(C40*E40*'تنظیمات'!$B$7,2)</x:f>
        <x:v>0</x:v>
      </x:c>
      <x:c r="J40" s="21" t="n">
        <x:f>ROUND(C40*F40,2)</x:f>
        <x:v>0</x:v>
      </x:c>
      <x:c r="K40" s="21" t="n">
        <x:f>ROUND((H40+I40+J40)*'تنظیمات'!$B$8,2)</x:f>
        <x:v>0</x:v>
      </x:c>
      <x:c r="L40" s="21" t="n">
        <x:f>SUM(H40:K40)</x:f>
        <x:v>0</x:v>
      </x:c>
      <x:c r="M40" s="21" t="n">
        <x:f>ROUND(MAX(0,L40-'تنظیمات'!$B$9)*'تنظیمات'!$B$10,2)</x:f>
        <x:v>0</x:v>
      </x:c>
      <x:c r="N40" s="21" t="n">
        <x:f>ROUND(MAX(0,L40*12-'تنظیمات'!$B$11)/12*'تنظیمات'!$B$12,2)</x:f>
        <x:v>0</x:v>
      </x:c>
      <x:c r="O40" s="21" t="n">
        <x:f>ROUND(L40*'تنظیمات'!$B$13,2)</x:f>
        <x:v>0</x:v>
      </x:c>
      <x:c r="P40" s="21" t="n">
        <x:f>ROUND((MIN(L40*12,'تنظیمات'!$B$17)*'تنظیمات'!$B$18+MAX(0,MIN(L40*12,'تنظیمات'!$B$19)-'تنظیمات'!$B$17)*'تنظیمات'!$B$20)/12,2)</x:f>
        <x:v>0</x:v>
      </x:c>
      <x:c r="Q40" s="21" t="n">
        <x:f>ROUND(MIN(L40*12,'تنظیمات'!$B$21)*'تنظیمات'!$B$22/12,2)</x:f>
        <x:v>0</x:v>
      </x:c>
      <x:c r="R40" s="21" t="n">
        <x:f>ROUND(MIN('تنظیمات'!$B$16,MAX(0,L40*12-'تنظیمات'!$B$14)*'تنظیمات'!$B$15)/12,2)</x:f>
        <x:v>0</x:v>
      </x:c>
      <x:c r="S40" s="21" t="n">
        <x:f>SUM(M40:R40)</x:f>
        <x:v>0</x:v>
      </x:c>
      <x:c r="T40" s="21" t="n">
        <x:f>L40-S40</x:f>
        <x:v>0</x:v>
      </x:c>
      <x:c r="U40" s="22" t="n">
        <x:f>'تنظیمات'!$B$5</x:f>
        <x:v>46266</x:v>
      </x:c>
      <x:c r="V40" s="22" t="n">
        <x:f>'تنظیمات'!$B$6</x:f>
        <x:v>46295</x:v>
      </x:c>
      <x:c r="W40" s="17" t="str">
        <x:f>IF(AND(A40&lt;&gt;"",T40&gt;=0),"OK","بررسی شود")</x:f>
        <x:v>بررسی شود</x:v>
      </x:c>
    </x:row>
    <x:row r="41">
      <x:c r="A41" s="13"/>
      <x:c r="B41" s="17" t="str">
        <x:f>IFERROR(VLOOKUP(A41,'کارمندان'!$A$5:$H$205,2,FALSE),"")</x:f>
      </x:c>
      <x:c r="C41" s="21" t="str">
        <x:f>IFERROR(VLOOKUP(A41,'کارمندان'!$A$5:$H$205,5,FALSE),0)</x:f>
      </x:c>
      <x:c r="D41" s="20" t="n">
        <x:f>SUMIFS('حضور و غیاب'!$J$5:$J$205,'حضور و غیاب'!$B$5:$B$205,$A41,'حضور و غیاب'!$A$5:$A$205,"&gt;="&amp;'تنظیمات'!$B$5,'حضور و غیاب'!$A$5:$A$205,"&lt;="&amp;'تنظیمات'!$B$6)</x:f>
        <x:v>0</x:v>
      </x:c>
      <x:c r="E41" s="20" t="n">
        <x:f>SUMIFS('حضور و غیاب'!$K$5:$K$205,'حضور و غیاب'!$B$5:$B$205,$A41,'حضور و غیاب'!$A$5:$A$205,"&gt;="&amp;'تنظیمات'!$B$5,'حضور و غیاب'!$A$5:$A$205,"&lt;="&amp;'تنظیمات'!$B$6)</x:f>
        <x:v>0</x:v>
      </x:c>
      <x:c r="F41" s="20" t="n">
        <x:f>SUMIFS('حضور و غیاب'!$G$5:$G$205,'حضور و غیاب'!$B$5:$B$205,$A41,'حضور و غیاب'!$F$5:$F$205,"Paid",'حضور و غیاب'!$A$5:$A$205,"&gt;="&amp;'تنظیمات'!$B$5,'حضور و غیاب'!$A$5:$A$205,"&lt;="&amp;'تنظیمات'!$B$6)</x:f>
        <x:v>0</x:v>
      </x:c>
      <x:c r="G41" s="20" t="n">
        <x:f>SUMIFS('حضور و غیاب'!$L$5:$L$205,'حضور و غیاب'!$B$5:$B$205,$A41,'حضور و غیاب'!$A$5:$A$205,"&gt;="&amp;'تنظیمات'!$B$5,'حضور و غیاب'!$A$5:$A$205,"&lt;="&amp;'تنظیمات'!$B$6)</x:f>
        <x:v>0</x:v>
      </x:c>
      <x:c r="H41" s="21" t="n">
        <x:f>ROUND(C41*D41,2)</x:f>
        <x:v>0</x:v>
      </x:c>
      <x:c r="I41" s="21" t="n">
        <x:f>ROUND(C41*E41*'تنظیمات'!$B$7,2)</x:f>
        <x:v>0</x:v>
      </x:c>
      <x:c r="J41" s="21" t="n">
        <x:f>ROUND(C41*F41,2)</x:f>
        <x:v>0</x:v>
      </x:c>
      <x:c r="K41" s="21" t="n">
        <x:f>ROUND((H41+I41+J41)*'تنظیمات'!$B$8,2)</x:f>
        <x:v>0</x:v>
      </x:c>
      <x:c r="L41" s="21" t="n">
        <x:f>SUM(H41:K41)</x:f>
        <x:v>0</x:v>
      </x:c>
      <x:c r="M41" s="21" t="n">
        <x:f>ROUND(MAX(0,L41-'تنظیمات'!$B$9)*'تنظیمات'!$B$10,2)</x:f>
        <x:v>0</x:v>
      </x:c>
      <x:c r="N41" s="21" t="n">
        <x:f>ROUND(MAX(0,L41*12-'تنظیمات'!$B$11)/12*'تنظیمات'!$B$12,2)</x:f>
        <x:v>0</x:v>
      </x:c>
      <x:c r="O41" s="21" t="n">
        <x:f>ROUND(L41*'تنظیمات'!$B$13,2)</x:f>
        <x:v>0</x:v>
      </x:c>
      <x:c r="P41" s="21" t="n">
        <x:f>ROUND((MIN(L41*12,'تنظیمات'!$B$17)*'تنظیمات'!$B$18+MAX(0,MIN(L41*12,'تنظیمات'!$B$19)-'تنظیمات'!$B$17)*'تنظیمات'!$B$20)/12,2)</x:f>
        <x:v>0</x:v>
      </x:c>
      <x:c r="Q41" s="21" t="n">
        <x:f>ROUND(MIN(L41*12,'تنظیمات'!$B$21)*'تنظیمات'!$B$22/12,2)</x:f>
        <x:v>0</x:v>
      </x:c>
      <x:c r="R41" s="21" t="n">
        <x:f>ROUND(MIN('تنظیمات'!$B$16,MAX(0,L41*12-'تنظیمات'!$B$14)*'تنظیمات'!$B$15)/12,2)</x:f>
        <x:v>0</x:v>
      </x:c>
      <x:c r="S41" s="21" t="n">
        <x:f>SUM(M41:R41)</x:f>
        <x:v>0</x:v>
      </x:c>
      <x:c r="T41" s="21" t="n">
        <x:f>L41-S41</x:f>
        <x:v>0</x:v>
      </x:c>
      <x:c r="U41" s="22" t="n">
        <x:f>'تنظیمات'!$B$5</x:f>
        <x:v>46266</x:v>
      </x:c>
      <x:c r="V41" s="22" t="n">
        <x:f>'تنظیمات'!$B$6</x:f>
        <x:v>46295</x:v>
      </x:c>
      <x:c r="W41" s="17" t="str">
        <x:f>IF(AND(A41&lt;&gt;"",T41&gt;=0),"OK","بررسی شود")</x:f>
        <x:v>بررسی شود</x:v>
      </x:c>
    </x:row>
    <x:row r="42">
      <x:c r="A42" s="13"/>
      <x:c r="B42" s="17" t="str">
        <x:f>IFERROR(VLOOKUP(A42,'کارمندان'!$A$5:$H$205,2,FALSE),"")</x:f>
      </x:c>
      <x:c r="C42" s="21" t="str">
        <x:f>IFERROR(VLOOKUP(A42,'کارمندان'!$A$5:$H$205,5,FALSE),0)</x:f>
      </x:c>
      <x:c r="D42" s="20" t="n">
        <x:f>SUMIFS('حضور و غیاب'!$J$5:$J$205,'حضور و غیاب'!$B$5:$B$205,$A42,'حضور و غیاب'!$A$5:$A$205,"&gt;="&amp;'تنظیمات'!$B$5,'حضور و غیاب'!$A$5:$A$205,"&lt;="&amp;'تنظیمات'!$B$6)</x:f>
        <x:v>0</x:v>
      </x:c>
      <x:c r="E42" s="20" t="n">
        <x:f>SUMIFS('حضور و غیاب'!$K$5:$K$205,'حضور و غیاب'!$B$5:$B$205,$A42,'حضور و غیاب'!$A$5:$A$205,"&gt;="&amp;'تنظیمات'!$B$5,'حضور و غیاب'!$A$5:$A$205,"&lt;="&amp;'تنظیمات'!$B$6)</x:f>
        <x:v>0</x:v>
      </x:c>
      <x:c r="F42" s="20" t="n">
        <x:f>SUMIFS('حضور و غیاب'!$G$5:$G$205,'حضور و غیاب'!$B$5:$B$205,$A42,'حضور و غیاب'!$F$5:$F$205,"Paid",'حضور و غیاب'!$A$5:$A$205,"&gt;="&amp;'تنظیمات'!$B$5,'حضور و غیاب'!$A$5:$A$205,"&lt;="&amp;'تنظیمات'!$B$6)</x:f>
        <x:v>0</x:v>
      </x:c>
      <x:c r="G42" s="20" t="n">
        <x:f>SUMIFS('حضور و غیاب'!$L$5:$L$205,'حضور و غیاب'!$B$5:$B$205,$A42,'حضور و غیاب'!$A$5:$A$205,"&gt;="&amp;'تنظیمات'!$B$5,'حضور و غیاب'!$A$5:$A$205,"&lt;="&amp;'تنظیمات'!$B$6)</x:f>
        <x:v>0</x:v>
      </x:c>
      <x:c r="H42" s="21" t="n">
        <x:f>ROUND(C42*D42,2)</x:f>
        <x:v>0</x:v>
      </x:c>
      <x:c r="I42" s="21" t="n">
        <x:f>ROUND(C42*E42*'تنظیمات'!$B$7,2)</x:f>
        <x:v>0</x:v>
      </x:c>
      <x:c r="J42" s="21" t="n">
        <x:f>ROUND(C42*F42,2)</x:f>
        <x:v>0</x:v>
      </x:c>
      <x:c r="K42" s="21" t="n">
        <x:f>ROUND((H42+I42+J42)*'تنظیمات'!$B$8,2)</x:f>
        <x:v>0</x:v>
      </x:c>
      <x:c r="L42" s="21" t="n">
        <x:f>SUM(H42:K42)</x:f>
        <x:v>0</x:v>
      </x:c>
      <x:c r="M42" s="21" t="n">
        <x:f>ROUND(MAX(0,L42-'تنظیمات'!$B$9)*'تنظیمات'!$B$10,2)</x:f>
        <x:v>0</x:v>
      </x:c>
      <x:c r="N42" s="21" t="n">
        <x:f>ROUND(MAX(0,L42*12-'تنظیمات'!$B$11)/12*'تنظیمات'!$B$12,2)</x:f>
        <x:v>0</x:v>
      </x:c>
      <x:c r="O42" s="21" t="n">
        <x:f>ROUND(L42*'تنظیمات'!$B$13,2)</x:f>
        <x:v>0</x:v>
      </x:c>
      <x:c r="P42" s="21" t="n">
        <x:f>ROUND((MIN(L42*12,'تنظیمات'!$B$17)*'تنظیمات'!$B$18+MAX(0,MIN(L42*12,'تنظیمات'!$B$19)-'تنظیمات'!$B$17)*'تنظیمات'!$B$20)/12,2)</x:f>
        <x:v>0</x:v>
      </x:c>
      <x:c r="Q42" s="21" t="n">
        <x:f>ROUND(MIN(L42*12,'تنظیمات'!$B$21)*'تنظیمات'!$B$22/12,2)</x:f>
        <x:v>0</x:v>
      </x:c>
      <x:c r="R42" s="21" t="n">
        <x:f>ROUND(MIN('تنظیمات'!$B$16,MAX(0,L42*12-'تنظیمات'!$B$14)*'تنظیمات'!$B$15)/12,2)</x:f>
        <x:v>0</x:v>
      </x:c>
      <x:c r="S42" s="21" t="n">
        <x:f>SUM(M42:R42)</x:f>
        <x:v>0</x:v>
      </x:c>
      <x:c r="T42" s="21" t="n">
        <x:f>L42-S42</x:f>
        <x:v>0</x:v>
      </x:c>
      <x:c r="U42" s="22" t="n">
        <x:f>'تنظیمات'!$B$5</x:f>
        <x:v>46266</x:v>
      </x:c>
      <x:c r="V42" s="22" t="n">
        <x:f>'تنظیمات'!$B$6</x:f>
        <x:v>46295</x:v>
      </x:c>
      <x:c r="W42" s="17" t="str">
        <x:f>IF(AND(A42&lt;&gt;"",T42&gt;=0),"OK","بررسی شود")</x:f>
        <x:v>بررسی شود</x:v>
      </x:c>
    </x:row>
    <x:row r="43">
      <x:c r="A43" s="13"/>
      <x:c r="B43" s="17" t="str">
        <x:f>IFERROR(VLOOKUP(A43,'کارمندان'!$A$5:$H$205,2,FALSE),"")</x:f>
      </x:c>
      <x:c r="C43" s="21" t="str">
        <x:f>IFERROR(VLOOKUP(A43,'کارمندان'!$A$5:$H$205,5,FALSE),0)</x:f>
      </x:c>
      <x:c r="D43" s="20" t="n">
        <x:f>SUMIFS('حضور و غیاب'!$J$5:$J$205,'حضور و غیاب'!$B$5:$B$205,$A43,'حضور و غیاب'!$A$5:$A$205,"&gt;="&amp;'تنظیمات'!$B$5,'حضور و غیاب'!$A$5:$A$205,"&lt;="&amp;'تنظیمات'!$B$6)</x:f>
        <x:v>0</x:v>
      </x:c>
      <x:c r="E43" s="20" t="n">
        <x:f>SUMIFS('حضور و غیاب'!$K$5:$K$205,'حضور و غیاب'!$B$5:$B$205,$A43,'حضور و غیاب'!$A$5:$A$205,"&gt;="&amp;'تنظیمات'!$B$5,'حضور و غیاب'!$A$5:$A$205,"&lt;="&amp;'تنظیمات'!$B$6)</x:f>
        <x:v>0</x:v>
      </x:c>
      <x:c r="F43" s="20" t="n">
        <x:f>SUMIFS('حضور و غیاب'!$G$5:$G$205,'حضور و غیاب'!$B$5:$B$205,$A43,'حضور و غیاب'!$F$5:$F$205,"Paid",'حضور و غیاب'!$A$5:$A$205,"&gt;="&amp;'تنظیمات'!$B$5,'حضور و غیاب'!$A$5:$A$205,"&lt;="&amp;'تنظیمات'!$B$6)</x:f>
        <x:v>0</x:v>
      </x:c>
      <x:c r="G43" s="20" t="n">
        <x:f>SUMIFS('حضور و غیاب'!$L$5:$L$205,'حضور و غیاب'!$B$5:$B$205,$A43,'حضور و غیاب'!$A$5:$A$205,"&gt;="&amp;'تنظیمات'!$B$5,'حضور و غیاب'!$A$5:$A$205,"&lt;="&amp;'تنظیمات'!$B$6)</x:f>
        <x:v>0</x:v>
      </x:c>
      <x:c r="H43" s="21" t="n">
        <x:f>ROUND(C43*D43,2)</x:f>
        <x:v>0</x:v>
      </x:c>
      <x:c r="I43" s="21" t="n">
        <x:f>ROUND(C43*E43*'تنظیمات'!$B$7,2)</x:f>
        <x:v>0</x:v>
      </x:c>
      <x:c r="J43" s="21" t="n">
        <x:f>ROUND(C43*F43,2)</x:f>
        <x:v>0</x:v>
      </x:c>
      <x:c r="K43" s="21" t="n">
        <x:f>ROUND((H43+I43+J43)*'تنظیمات'!$B$8,2)</x:f>
        <x:v>0</x:v>
      </x:c>
      <x:c r="L43" s="21" t="n">
        <x:f>SUM(H43:K43)</x:f>
        <x:v>0</x:v>
      </x:c>
      <x:c r="M43" s="21" t="n">
        <x:f>ROUND(MAX(0,L43-'تنظیمات'!$B$9)*'تنظیمات'!$B$10,2)</x:f>
        <x:v>0</x:v>
      </x:c>
      <x:c r="N43" s="21" t="n">
        <x:f>ROUND(MAX(0,L43*12-'تنظیمات'!$B$11)/12*'تنظیمات'!$B$12,2)</x:f>
        <x:v>0</x:v>
      </x:c>
      <x:c r="O43" s="21" t="n">
        <x:f>ROUND(L43*'تنظیمات'!$B$13,2)</x:f>
        <x:v>0</x:v>
      </x:c>
      <x:c r="P43" s="21" t="n">
        <x:f>ROUND((MIN(L43*12,'تنظیمات'!$B$17)*'تنظیمات'!$B$18+MAX(0,MIN(L43*12,'تنظیمات'!$B$19)-'تنظیمات'!$B$17)*'تنظیمات'!$B$20)/12,2)</x:f>
        <x:v>0</x:v>
      </x:c>
      <x:c r="Q43" s="21" t="n">
        <x:f>ROUND(MIN(L43*12,'تنظیمات'!$B$21)*'تنظیمات'!$B$22/12,2)</x:f>
        <x:v>0</x:v>
      </x:c>
      <x:c r="R43" s="21" t="n">
        <x:f>ROUND(MIN('تنظیمات'!$B$16,MAX(0,L43*12-'تنظیمات'!$B$14)*'تنظیمات'!$B$15)/12,2)</x:f>
        <x:v>0</x:v>
      </x:c>
      <x:c r="S43" s="21" t="n">
        <x:f>SUM(M43:R43)</x:f>
        <x:v>0</x:v>
      </x:c>
      <x:c r="T43" s="21" t="n">
        <x:f>L43-S43</x:f>
        <x:v>0</x:v>
      </x:c>
      <x:c r="U43" s="22" t="n">
        <x:f>'تنظیمات'!$B$5</x:f>
        <x:v>46266</x:v>
      </x:c>
      <x:c r="V43" s="22" t="n">
        <x:f>'تنظیمات'!$B$6</x:f>
        <x:v>46295</x:v>
      </x:c>
      <x:c r="W43" s="17" t="str">
        <x:f>IF(AND(A43&lt;&gt;"",T43&gt;=0),"OK","بررسی شود")</x:f>
        <x:v>بررسی شود</x:v>
      </x:c>
    </x:row>
    <x:row r="44">
      <x:c r="A44" s="13"/>
      <x:c r="B44" s="17" t="str">
        <x:f>IFERROR(VLOOKUP(A44,'کارمندان'!$A$5:$H$205,2,FALSE),"")</x:f>
      </x:c>
      <x:c r="C44" s="21" t="str">
        <x:f>IFERROR(VLOOKUP(A44,'کارمندان'!$A$5:$H$205,5,FALSE),0)</x:f>
      </x:c>
      <x:c r="D44" s="20" t="n">
        <x:f>SUMIFS('حضور و غیاب'!$J$5:$J$205,'حضور و غیاب'!$B$5:$B$205,$A44,'حضور و غیاب'!$A$5:$A$205,"&gt;="&amp;'تنظیمات'!$B$5,'حضور و غیاب'!$A$5:$A$205,"&lt;="&amp;'تنظیمات'!$B$6)</x:f>
        <x:v>0</x:v>
      </x:c>
      <x:c r="E44" s="20" t="n">
        <x:f>SUMIFS('حضور و غیاب'!$K$5:$K$205,'حضور و غیاب'!$B$5:$B$205,$A44,'حضور و غیاب'!$A$5:$A$205,"&gt;="&amp;'تنظیمات'!$B$5,'حضور و غیاب'!$A$5:$A$205,"&lt;="&amp;'تنظیمات'!$B$6)</x:f>
        <x:v>0</x:v>
      </x:c>
      <x:c r="F44" s="20" t="n">
        <x:f>SUMIFS('حضور و غیاب'!$G$5:$G$205,'حضور و غیاب'!$B$5:$B$205,$A44,'حضور و غیاب'!$F$5:$F$205,"Paid",'حضور و غیاب'!$A$5:$A$205,"&gt;="&amp;'تنظیمات'!$B$5,'حضور و غیاب'!$A$5:$A$205,"&lt;="&amp;'تنظیمات'!$B$6)</x:f>
        <x:v>0</x:v>
      </x:c>
      <x:c r="G44" s="20" t="n">
        <x:f>SUMIFS('حضور و غیاب'!$L$5:$L$205,'حضور و غیاب'!$B$5:$B$205,$A44,'حضور و غیاب'!$A$5:$A$205,"&gt;="&amp;'تنظیمات'!$B$5,'حضور و غیاب'!$A$5:$A$205,"&lt;="&amp;'تنظیمات'!$B$6)</x:f>
        <x:v>0</x:v>
      </x:c>
      <x:c r="H44" s="21" t="n">
        <x:f>ROUND(C44*D44,2)</x:f>
        <x:v>0</x:v>
      </x:c>
      <x:c r="I44" s="21" t="n">
        <x:f>ROUND(C44*E44*'تنظیمات'!$B$7,2)</x:f>
        <x:v>0</x:v>
      </x:c>
      <x:c r="J44" s="21" t="n">
        <x:f>ROUND(C44*F44,2)</x:f>
        <x:v>0</x:v>
      </x:c>
      <x:c r="K44" s="21" t="n">
        <x:f>ROUND((H44+I44+J44)*'تنظیمات'!$B$8,2)</x:f>
        <x:v>0</x:v>
      </x:c>
      <x:c r="L44" s="21" t="n">
        <x:f>SUM(H44:K44)</x:f>
        <x:v>0</x:v>
      </x:c>
      <x:c r="M44" s="21" t="n">
        <x:f>ROUND(MAX(0,L44-'تنظیمات'!$B$9)*'تنظیمات'!$B$10,2)</x:f>
        <x:v>0</x:v>
      </x:c>
      <x:c r="N44" s="21" t="n">
        <x:f>ROUND(MAX(0,L44*12-'تنظیمات'!$B$11)/12*'تنظیمات'!$B$12,2)</x:f>
        <x:v>0</x:v>
      </x:c>
      <x:c r="O44" s="21" t="n">
        <x:f>ROUND(L44*'تنظیمات'!$B$13,2)</x:f>
        <x:v>0</x:v>
      </x:c>
      <x:c r="P44" s="21" t="n">
        <x:f>ROUND((MIN(L44*12,'تنظیمات'!$B$17)*'تنظیمات'!$B$18+MAX(0,MIN(L44*12,'تنظیمات'!$B$19)-'تنظیمات'!$B$17)*'تنظیمات'!$B$20)/12,2)</x:f>
        <x:v>0</x:v>
      </x:c>
      <x:c r="Q44" s="21" t="n">
        <x:f>ROUND(MIN(L44*12,'تنظیمات'!$B$21)*'تنظیمات'!$B$22/12,2)</x:f>
        <x:v>0</x:v>
      </x:c>
      <x:c r="R44" s="21" t="n">
        <x:f>ROUND(MIN('تنظیمات'!$B$16,MAX(0,L44*12-'تنظیمات'!$B$14)*'تنظیمات'!$B$15)/12,2)</x:f>
        <x:v>0</x:v>
      </x:c>
      <x:c r="S44" s="21" t="n">
        <x:f>SUM(M44:R44)</x:f>
        <x:v>0</x:v>
      </x:c>
      <x:c r="T44" s="21" t="n">
        <x:f>L44-S44</x:f>
        <x:v>0</x:v>
      </x:c>
      <x:c r="U44" s="22" t="n">
        <x:f>'تنظیمات'!$B$5</x:f>
        <x:v>46266</x:v>
      </x:c>
      <x:c r="V44" s="22" t="n">
        <x:f>'تنظیمات'!$B$6</x:f>
        <x:v>46295</x:v>
      </x:c>
      <x:c r="W44" s="17" t="str">
        <x:f>IF(AND(A44&lt;&gt;"",T44&gt;=0),"OK","بررسی شود")</x:f>
        <x:v>بررسی شود</x:v>
      </x:c>
    </x:row>
    <x:row r="45">
      <x:c r="A45" s="13"/>
      <x:c r="B45" s="17" t="str">
        <x:f>IFERROR(VLOOKUP(A45,'کارمندان'!$A$5:$H$205,2,FALSE),"")</x:f>
      </x:c>
      <x:c r="C45" s="21" t="str">
        <x:f>IFERROR(VLOOKUP(A45,'کارمندان'!$A$5:$H$205,5,FALSE),0)</x:f>
      </x:c>
      <x:c r="D45" s="20" t="n">
        <x:f>SUMIFS('حضور و غیاب'!$J$5:$J$205,'حضور و غیاب'!$B$5:$B$205,$A45,'حضور و غیاب'!$A$5:$A$205,"&gt;="&amp;'تنظیمات'!$B$5,'حضور و غیاب'!$A$5:$A$205,"&lt;="&amp;'تنظیمات'!$B$6)</x:f>
        <x:v>0</x:v>
      </x:c>
      <x:c r="E45" s="20" t="n">
        <x:f>SUMIFS('حضور و غیاب'!$K$5:$K$205,'حضور و غیاب'!$B$5:$B$205,$A45,'حضور و غیاب'!$A$5:$A$205,"&gt;="&amp;'تنظیمات'!$B$5,'حضور و غیاب'!$A$5:$A$205,"&lt;="&amp;'تنظیمات'!$B$6)</x:f>
        <x:v>0</x:v>
      </x:c>
      <x:c r="F45" s="20" t="n">
        <x:f>SUMIFS('حضور و غیاب'!$G$5:$G$205,'حضور و غیاب'!$B$5:$B$205,$A45,'حضور و غیاب'!$F$5:$F$205,"Paid",'حضور و غیاب'!$A$5:$A$205,"&gt;="&amp;'تنظیمات'!$B$5,'حضور و غیاب'!$A$5:$A$205,"&lt;="&amp;'تنظیمات'!$B$6)</x:f>
        <x:v>0</x:v>
      </x:c>
      <x:c r="G45" s="20" t="n">
        <x:f>SUMIFS('حضور و غیاب'!$L$5:$L$205,'حضور و غیاب'!$B$5:$B$205,$A45,'حضور و غیاب'!$A$5:$A$205,"&gt;="&amp;'تنظیمات'!$B$5,'حضور و غیاب'!$A$5:$A$205,"&lt;="&amp;'تنظیمات'!$B$6)</x:f>
        <x:v>0</x:v>
      </x:c>
      <x:c r="H45" s="21" t="n">
        <x:f>ROUND(C45*D45,2)</x:f>
        <x:v>0</x:v>
      </x:c>
      <x:c r="I45" s="21" t="n">
        <x:f>ROUND(C45*E45*'تنظیمات'!$B$7,2)</x:f>
        <x:v>0</x:v>
      </x:c>
      <x:c r="J45" s="21" t="n">
        <x:f>ROUND(C45*F45,2)</x:f>
        <x:v>0</x:v>
      </x:c>
      <x:c r="K45" s="21" t="n">
        <x:f>ROUND((H45+I45+J45)*'تنظیمات'!$B$8,2)</x:f>
        <x:v>0</x:v>
      </x:c>
      <x:c r="L45" s="21" t="n">
        <x:f>SUM(H45:K45)</x:f>
        <x:v>0</x:v>
      </x:c>
      <x:c r="M45" s="21" t="n">
        <x:f>ROUND(MAX(0,L45-'تنظیمات'!$B$9)*'تنظیمات'!$B$10,2)</x:f>
        <x:v>0</x:v>
      </x:c>
      <x:c r="N45" s="21" t="n">
        <x:f>ROUND(MAX(0,L45*12-'تنظیمات'!$B$11)/12*'تنظیمات'!$B$12,2)</x:f>
        <x:v>0</x:v>
      </x:c>
      <x:c r="O45" s="21" t="n">
        <x:f>ROUND(L45*'تنظیمات'!$B$13,2)</x:f>
        <x:v>0</x:v>
      </x:c>
      <x:c r="P45" s="21" t="n">
        <x:f>ROUND((MIN(L45*12,'تنظیمات'!$B$17)*'تنظیمات'!$B$18+MAX(0,MIN(L45*12,'تنظیمات'!$B$19)-'تنظیمات'!$B$17)*'تنظیمات'!$B$20)/12,2)</x:f>
        <x:v>0</x:v>
      </x:c>
      <x:c r="Q45" s="21" t="n">
        <x:f>ROUND(MIN(L45*12,'تنظیمات'!$B$21)*'تنظیمات'!$B$22/12,2)</x:f>
        <x:v>0</x:v>
      </x:c>
      <x:c r="R45" s="21" t="n">
        <x:f>ROUND(MIN('تنظیمات'!$B$16,MAX(0,L45*12-'تنظیمات'!$B$14)*'تنظیمات'!$B$15)/12,2)</x:f>
        <x:v>0</x:v>
      </x:c>
      <x:c r="S45" s="21" t="n">
        <x:f>SUM(M45:R45)</x:f>
        <x:v>0</x:v>
      </x:c>
      <x:c r="T45" s="21" t="n">
        <x:f>L45-S45</x:f>
        <x:v>0</x:v>
      </x:c>
      <x:c r="U45" s="22" t="n">
        <x:f>'تنظیمات'!$B$5</x:f>
        <x:v>46266</x:v>
      </x:c>
      <x:c r="V45" s="22" t="n">
        <x:f>'تنظیمات'!$B$6</x:f>
        <x:v>46295</x:v>
      </x:c>
      <x:c r="W45" s="17" t="str">
        <x:f>IF(AND(A45&lt;&gt;"",T45&gt;=0),"OK","بررسی شود")</x:f>
        <x:v>بررسی شود</x:v>
      </x:c>
    </x:row>
    <x:row r="46">
      <x:c r="A46" s="13"/>
      <x:c r="B46" s="17" t="str">
        <x:f>IFERROR(VLOOKUP(A46,'کارمندان'!$A$5:$H$205,2,FALSE),"")</x:f>
      </x:c>
      <x:c r="C46" s="21" t="str">
        <x:f>IFERROR(VLOOKUP(A46,'کارمندان'!$A$5:$H$205,5,FALSE),0)</x:f>
      </x:c>
      <x:c r="D46" s="20" t="n">
        <x:f>SUMIFS('حضور و غیاب'!$J$5:$J$205,'حضور و غیاب'!$B$5:$B$205,$A46,'حضور و غیاب'!$A$5:$A$205,"&gt;="&amp;'تنظیمات'!$B$5,'حضور و غیاب'!$A$5:$A$205,"&lt;="&amp;'تنظیمات'!$B$6)</x:f>
        <x:v>0</x:v>
      </x:c>
      <x:c r="E46" s="20" t="n">
        <x:f>SUMIFS('حضور و غیاب'!$K$5:$K$205,'حضور و غیاب'!$B$5:$B$205,$A46,'حضور و غیاب'!$A$5:$A$205,"&gt;="&amp;'تنظیمات'!$B$5,'حضور و غیاب'!$A$5:$A$205,"&lt;="&amp;'تنظیمات'!$B$6)</x:f>
        <x:v>0</x:v>
      </x:c>
      <x:c r="F46" s="20" t="n">
        <x:f>SUMIFS('حضور و غیاب'!$G$5:$G$205,'حضور و غیاب'!$B$5:$B$205,$A46,'حضور و غیاب'!$F$5:$F$205,"Paid",'حضور و غیاب'!$A$5:$A$205,"&gt;="&amp;'تنظیمات'!$B$5,'حضور و غیاب'!$A$5:$A$205,"&lt;="&amp;'تنظیمات'!$B$6)</x:f>
        <x:v>0</x:v>
      </x:c>
      <x:c r="G46" s="20" t="n">
        <x:f>SUMIFS('حضور و غیاب'!$L$5:$L$205,'حضور و غیاب'!$B$5:$B$205,$A46,'حضور و غیاب'!$A$5:$A$205,"&gt;="&amp;'تنظیمات'!$B$5,'حضور و غیاب'!$A$5:$A$205,"&lt;="&amp;'تنظیمات'!$B$6)</x:f>
        <x:v>0</x:v>
      </x:c>
      <x:c r="H46" s="21" t="n">
        <x:f>ROUND(C46*D46,2)</x:f>
        <x:v>0</x:v>
      </x:c>
      <x:c r="I46" s="21" t="n">
        <x:f>ROUND(C46*E46*'تنظیمات'!$B$7,2)</x:f>
        <x:v>0</x:v>
      </x:c>
      <x:c r="J46" s="21" t="n">
        <x:f>ROUND(C46*F46,2)</x:f>
        <x:v>0</x:v>
      </x:c>
      <x:c r="K46" s="21" t="n">
        <x:f>ROUND((H46+I46+J46)*'تنظیمات'!$B$8,2)</x:f>
        <x:v>0</x:v>
      </x:c>
      <x:c r="L46" s="21" t="n">
        <x:f>SUM(H46:K46)</x:f>
        <x:v>0</x:v>
      </x:c>
      <x:c r="M46" s="21" t="n">
        <x:f>ROUND(MAX(0,L46-'تنظیمات'!$B$9)*'تنظیمات'!$B$10,2)</x:f>
        <x:v>0</x:v>
      </x:c>
      <x:c r="N46" s="21" t="n">
        <x:f>ROUND(MAX(0,L46*12-'تنظیمات'!$B$11)/12*'تنظیمات'!$B$12,2)</x:f>
        <x:v>0</x:v>
      </x:c>
      <x:c r="O46" s="21" t="n">
        <x:f>ROUND(L46*'تنظیمات'!$B$13,2)</x:f>
        <x:v>0</x:v>
      </x:c>
      <x:c r="P46" s="21" t="n">
        <x:f>ROUND((MIN(L46*12,'تنظیمات'!$B$17)*'تنظیمات'!$B$18+MAX(0,MIN(L46*12,'تنظیمات'!$B$19)-'تنظیمات'!$B$17)*'تنظیمات'!$B$20)/12,2)</x:f>
        <x:v>0</x:v>
      </x:c>
      <x:c r="Q46" s="21" t="n">
        <x:f>ROUND(MIN(L46*12,'تنظیمات'!$B$21)*'تنظیمات'!$B$22/12,2)</x:f>
        <x:v>0</x:v>
      </x:c>
      <x:c r="R46" s="21" t="n">
        <x:f>ROUND(MIN('تنظیمات'!$B$16,MAX(0,L46*12-'تنظیمات'!$B$14)*'تنظیمات'!$B$15)/12,2)</x:f>
        <x:v>0</x:v>
      </x:c>
      <x:c r="S46" s="21" t="n">
        <x:f>SUM(M46:R46)</x:f>
        <x:v>0</x:v>
      </x:c>
      <x:c r="T46" s="21" t="n">
        <x:f>L46-S46</x:f>
        <x:v>0</x:v>
      </x:c>
      <x:c r="U46" s="22" t="n">
        <x:f>'تنظیمات'!$B$5</x:f>
        <x:v>46266</x:v>
      </x:c>
      <x:c r="V46" s="22" t="n">
        <x:f>'تنظیمات'!$B$6</x:f>
        <x:v>46295</x:v>
      </x:c>
      <x:c r="W46" s="17" t="str">
        <x:f>IF(AND(A46&lt;&gt;"",T46&gt;=0),"OK","بررسی شود")</x:f>
        <x:v>بررسی شود</x:v>
      </x:c>
    </x:row>
    <x:row r="47">
      <x:c r="A47" s="13"/>
      <x:c r="B47" s="17" t="str">
        <x:f>IFERROR(VLOOKUP(A47,'کارمندان'!$A$5:$H$205,2,FALSE),"")</x:f>
      </x:c>
      <x:c r="C47" s="21" t="str">
        <x:f>IFERROR(VLOOKUP(A47,'کارمندان'!$A$5:$H$205,5,FALSE),0)</x:f>
      </x:c>
      <x:c r="D47" s="20" t="n">
        <x:f>SUMIFS('حضور و غیاب'!$J$5:$J$205,'حضور و غیاب'!$B$5:$B$205,$A47,'حضور و غیاب'!$A$5:$A$205,"&gt;="&amp;'تنظیمات'!$B$5,'حضور و غیاب'!$A$5:$A$205,"&lt;="&amp;'تنظیمات'!$B$6)</x:f>
        <x:v>0</x:v>
      </x:c>
      <x:c r="E47" s="20" t="n">
        <x:f>SUMIFS('حضور و غیاب'!$K$5:$K$205,'حضور و غیاب'!$B$5:$B$205,$A47,'حضور و غیاب'!$A$5:$A$205,"&gt;="&amp;'تنظیمات'!$B$5,'حضور و غیاب'!$A$5:$A$205,"&lt;="&amp;'تنظیمات'!$B$6)</x:f>
        <x:v>0</x:v>
      </x:c>
      <x:c r="F47" s="20" t="n">
        <x:f>SUMIFS('حضور و غیاب'!$G$5:$G$205,'حضور و غیاب'!$B$5:$B$205,$A47,'حضور و غیاب'!$F$5:$F$205,"Paid",'حضور و غیاب'!$A$5:$A$205,"&gt;="&amp;'تنظیمات'!$B$5,'حضور و غیاب'!$A$5:$A$205,"&lt;="&amp;'تنظیمات'!$B$6)</x:f>
        <x:v>0</x:v>
      </x:c>
      <x:c r="G47" s="20" t="n">
        <x:f>SUMIFS('حضور و غیاب'!$L$5:$L$205,'حضور و غیاب'!$B$5:$B$205,$A47,'حضور و غیاب'!$A$5:$A$205,"&gt;="&amp;'تنظیمات'!$B$5,'حضور و غیاب'!$A$5:$A$205,"&lt;="&amp;'تنظیمات'!$B$6)</x:f>
        <x:v>0</x:v>
      </x:c>
      <x:c r="H47" s="21" t="n">
        <x:f>ROUND(C47*D47,2)</x:f>
        <x:v>0</x:v>
      </x:c>
      <x:c r="I47" s="21" t="n">
        <x:f>ROUND(C47*E47*'تنظیمات'!$B$7,2)</x:f>
        <x:v>0</x:v>
      </x:c>
      <x:c r="J47" s="21" t="n">
        <x:f>ROUND(C47*F47,2)</x:f>
        <x:v>0</x:v>
      </x:c>
      <x:c r="K47" s="21" t="n">
        <x:f>ROUND((H47+I47+J47)*'تنظیمات'!$B$8,2)</x:f>
        <x:v>0</x:v>
      </x:c>
      <x:c r="L47" s="21" t="n">
        <x:f>SUM(H47:K47)</x:f>
        <x:v>0</x:v>
      </x:c>
      <x:c r="M47" s="21" t="n">
        <x:f>ROUND(MAX(0,L47-'تنظیمات'!$B$9)*'تنظیمات'!$B$10,2)</x:f>
        <x:v>0</x:v>
      </x:c>
      <x:c r="N47" s="21" t="n">
        <x:f>ROUND(MAX(0,L47*12-'تنظیمات'!$B$11)/12*'تنظیمات'!$B$12,2)</x:f>
        <x:v>0</x:v>
      </x:c>
      <x:c r="O47" s="21" t="n">
        <x:f>ROUND(L47*'تنظیمات'!$B$13,2)</x:f>
        <x:v>0</x:v>
      </x:c>
      <x:c r="P47" s="21" t="n">
        <x:f>ROUND((MIN(L47*12,'تنظیمات'!$B$17)*'تنظیمات'!$B$18+MAX(0,MIN(L47*12,'تنظیمات'!$B$19)-'تنظیمات'!$B$17)*'تنظیمات'!$B$20)/12,2)</x:f>
        <x:v>0</x:v>
      </x:c>
      <x:c r="Q47" s="21" t="n">
        <x:f>ROUND(MIN(L47*12,'تنظیمات'!$B$21)*'تنظیمات'!$B$22/12,2)</x:f>
        <x:v>0</x:v>
      </x:c>
      <x:c r="R47" s="21" t="n">
        <x:f>ROUND(MIN('تنظیمات'!$B$16,MAX(0,L47*12-'تنظیمات'!$B$14)*'تنظیمات'!$B$15)/12,2)</x:f>
        <x:v>0</x:v>
      </x:c>
      <x:c r="S47" s="21" t="n">
        <x:f>SUM(M47:R47)</x:f>
        <x:v>0</x:v>
      </x:c>
      <x:c r="T47" s="21" t="n">
        <x:f>L47-S47</x:f>
        <x:v>0</x:v>
      </x:c>
      <x:c r="U47" s="22" t="n">
        <x:f>'تنظیمات'!$B$5</x:f>
        <x:v>46266</x:v>
      </x:c>
      <x:c r="V47" s="22" t="n">
        <x:f>'تنظیمات'!$B$6</x:f>
        <x:v>46295</x:v>
      </x:c>
      <x:c r="W47" s="17" t="str">
        <x:f>IF(AND(A47&lt;&gt;"",T47&gt;=0),"OK","بررسی شود")</x:f>
        <x:v>بررسی شود</x:v>
      </x:c>
    </x:row>
    <x:row r="48">
      <x:c r="A48" s="13"/>
      <x:c r="B48" s="17" t="str">
        <x:f>IFERROR(VLOOKUP(A48,'کارمندان'!$A$5:$H$205,2,FALSE),"")</x:f>
      </x:c>
      <x:c r="C48" s="21" t="str">
        <x:f>IFERROR(VLOOKUP(A48,'کارمندان'!$A$5:$H$205,5,FALSE),0)</x:f>
      </x:c>
      <x:c r="D48" s="20" t="n">
        <x:f>SUMIFS('حضور و غیاب'!$J$5:$J$205,'حضور و غیاب'!$B$5:$B$205,$A48,'حضور و غیاب'!$A$5:$A$205,"&gt;="&amp;'تنظیمات'!$B$5,'حضور و غیاب'!$A$5:$A$205,"&lt;="&amp;'تنظیمات'!$B$6)</x:f>
        <x:v>0</x:v>
      </x:c>
      <x:c r="E48" s="20" t="n">
        <x:f>SUMIFS('حضور و غیاب'!$K$5:$K$205,'حضور و غیاب'!$B$5:$B$205,$A48,'حضور و غیاب'!$A$5:$A$205,"&gt;="&amp;'تنظیمات'!$B$5,'حضور و غیاب'!$A$5:$A$205,"&lt;="&amp;'تنظیمات'!$B$6)</x:f>
        <x:v>0</x:v>
      </x:c>
      <x:c r="F48" s="20" t="n">
        <x:f>SUMIFS('حضور و غیاب'!$G$5:$G$205,'حضور و غیاب'!$B$5:$B$205,$A48,'حضور و غیاب'!$F$5:$F$205,"Paid",'حضور و غیاب'!$A$5:$A$205,"&gt;="&amp;'تنظیمات'!$B$5,'حضور و غیاب'!$A$5:$A$205,"&lt;="&amp;'تنظیمات'!$B$6)</x:f>
        <x:v>0</x:v>
      </x:c>
      <x:c r="G48" s="20" t="n">
        <x:f>SUMIFS('حضور و غیاب'!$L$5:$L$205,'حضور و غیاب'!$B$5:$B$205,$A48,'حضور و غیاب'!$A$5:$A$205,"&gt;="&amp;'تنظیمات'!$B$5,'حضور و غیاب'!$A$5:$A$205,"&lt;="&amp;'تنظیمات'!$B$6)</x:f>
        <x:v>0</x:v>
      </x:c>
      <x:c r="H48" s="21" t="n">
        <x:f>ROUND(C48*D48,2)</x:f>
        <x:v>0</x:v>
      </x:c>
      <x:c r="I48" s="21" t="n">
        <x:f>ROUND(C48*E48*'تنظیمات'!$B$7,2)</x:f>
        <x:v>0</x:v>
      </x:c>
      <x:c r="J48" s="21" t="n">
        <x:f>ROUND(C48*F48,2)</x:f>
        <x:v>0</x:v>
      </x:c>
      <x:c r="K48" s="21" t="n">
        <x:f>ROUND((H48+I48+J48)*'تنظیمات'!$B$8,2)</x:f>
        <x:v>0</x:v>
      </x:c>
      <x:c r="L48" s="21" t="n">
        <x:f>SUM(H48:K48)</x:f>
        <x:v>0</x:v>
      </x:c>
      <x:c r="M48" s="21" t="n">
        <x:f>ROUND(MAX(0,L48-'تنظیمات'!$B$9)*'تنظیمات'!$B$10,2)</x:f>
        <x:v>0</x:v>
      </x:c>
      <x:c r="N48" s="21" t="n">
        <x:f>ROUND(MAX(0,L48*12-'تنظیمات'!$B$11)/12*'تنظیمات'!$B$12,2)</x:f>
        <x:v>0</x:v>
      </x:c>
      <x:c r="O48" s="21" t="n">
        <x:f>ROUND(L48*'تنظیمات'!$B$13,2)</x:f>
        <x:v>0</x:v>
      </x:c>
      <x:c r="P48" s="21" t="n">
        <x:f>ROUND((MIN(L48*12,'تنظیمات'!$B$17)*'تنظیمات'!$B$18+MAX(0,MIN(L48*12,'تنظیمات'!$B$19)-'تنظیمات'!$B$17)*'تنظیمات'!$B$20)/12,2)</x:f>
        <x:v>0</x:v>
      </x:c>
      <x:c r="Q48" s="21" t="n">
        <x:f>ROUND(MIN(L48*12,'تنظیمات'!$B$21)*'تنظیمات'!$B$22/12,2)</x:f>
        <x:v>0</x:v>
      </x:c>
      <x:c r="R48" s="21" t="n">
        <x:f>ROUND(MIN('تنظیمات'!$B$16,MAX(0,L48*12-'تنظیمات'!$B$14)*'تنظیمات'!$B$15)/12,2)</x:f>
        <x:v>0</x:v>
      </x:c>
      <x:c r="S48" s="21" t="n">
        <x:f>SUM(M48:R48)</x:f>
        <x:v>0</x:v>
      </x:c>
      <x:c r="T48" s="21" t="n">
        <x:f>L48-S48</x:f>
        <x:v>0</x:v>
      </x:c>
      <x:c r="U48" s="22" t="n">
        <x:f>'تنظیمات'!$B$5</x:f>
        <x:v>46266</x:v>
      </x:c>
      <x:c r="V48" s="22" t="n">
        <x:f>'تنظیمات'!$B$6</x:f>
        <x:v>46295</x:v>
      </x:c>
      <x:c r="W48" s="17" t="str">
        <x:f>IF(AND(A48&lt;&gt;"",T48&gt;=0),"OK","بررسی شود")</x:f>
        <x:v>بررسی شود</x:v>
      </x:c>
    </x:row>
    <x:row r="49">
      <x:c r="A49" s="13"/>
      <x:c r="B49" s="17" t="str">
        <x:f>IFERROR(VLOOKUP(A49,'کارمندان'!$A$5:$H$205,2,FALSE),"")</x:f>
      </x:c>
      <x:c r="C49" s="21" t="str">
        <x:f>IFERROR(VLOOKUP(A49,'کارمندان'!$A$5:$H$205,5,FALSE),0)</x:f>
      </x:c>
      <x:c r="D49" s="20" t="n">
        <x:f>SUMIFS('حضور و غیاب'!$J$5:$J$205,'حضور و غیاب'!$B$5:$B$205,$A49,'حضور و غیاب'!$A$5:$A$205,"&gt;="&amp;'تنظیمات'!$B$5,'حضور و غیاب'!$A$5:$A$205,"&lt;="&amp;'تنظیمات'!$B$6)</x:f>
        <x:v>0</x:v>
      </x:c>
      <x:c r="E49" s="20" t="n">
        <x:f>SUMIFS('حضور و غیاب'!$K$5:$K$205,'حضور و غیاب'!$B$5:$B$205,$A49,'حضور و غیاب'!$A$5:$A$205,"&gt;="&amp;'تنظیمات'!$B$5,'حضور و غیاب'!$A$5:$A$205,"&lt;="&amp;'تنظیمات'!$B$6)</x:f>
        <x:v>0</x:v>
      </x:c>
      <x:c r="F49" s="20" t="n">
        <x:f>SUMIFS('حضور و غیاب'!$G$5:$G$205,'حضور و غیاب'!$B$5:$B$205,$A49,'حضور و غیاب'!$F$5:$F$205,"Paid",'حضور و غیاب'!$A$5:$A$205,"&gt;="&amp;'تنظیمات'!$B$5,'حضور و غیاب'!$A$5:$A$205,"&lt;="&amp;'تنظیمات'!$B$6)</x:f>
        <x:v>0</x:v>
      </x:c>
      <x:c r="G49" s="20" t="n">
        <x:f>SUMIFS('حضور و غیاب'!$L$5:$L$205,'حضور و غیاب'!$B$5:$B$205,$A49,'حضور و غیاب'!$A$5:$A$205,"&gt;="&amp;'تنظیمات'!$B$5,'حضور و غیاب'!$A$5:$A$205,"&lt;="&amp;'تنظیمات'!$B$6)</x:f>
        <x:v>0</x:v>
      </x:c>
      <x:c r="H49" s="21" t="n">
        <x:f>ROUND(C49*D49,2)</x:f>
        <x:v>0</x:v>
      </x:c>
      <x:c r="I49" s="21" t="n">
        <x:f>ROUND(C49*E49*'تنظیمات'!$B$7,2)</x:f>
        <x:v>0</x:v>
      </x:c>
      <x:c r="J49" s="21" t="n">
        <x:f>ROUND(C49*F49,2)</x:f>
        <x:v>0</x:v>
      </x:c>
      <x:c r="K49" s="21" t="n">
        <x:f>ROUND((H49+I49+J49)*'تنظیمات'!$B$8,2)</x:f>
        <x:v>0</x:v>
      </x:c>
      <x:c r="L49" s="21" t="n">
        <x:f>SUM(H49:K49)</x:f>
        <x:v>0</x:v>
      </x:c>
      <x:c r="M49" s="21" t="n">
        <x:f>ROUND(MAX(0,L49-'تنظیمات'!$B$9)*'تنظیمات'!$B$10,2)</x:f>
        <x:v>0</x:v>
      </x:c>
      <x:c r="N49" s="21" t="n">
        <x:f>ROUND(MAX(0,L49*12-'تنظیمات'!$B$11)/12*'تنظیمات'!$B$12,2)</x:f>
        <x:v>0</x:v>
      </x:c>
      <x:c r="O49" s="21" t="n">
        <x:f>ROUND(L49*'تنظیمات'!$B$13,2)</x:f>
        <x:v>0</x:v>
      </x:c>
      <x:c r="P49" s="21" t="n">
        <x:f>ROUND((MIN(L49*12,'تنظیمات'!$B$17)*'تنظیمات'!$B$18+MAX(0,MIN(L49*12,'تنظیمات'!$B$19)-'تنظیمات'!$B$17)*'تنظیمات'!$B$20)/12,2)</x:f>
        <x:v>0</x:v>
      </x:c>
      <x:c r="Q49" s="21" t="n">
        <x:f>ROUND(MIN(L49*12,'تنظیمات'!$B$21)*'تنظیمات'!$B$22/12,2)</x:f>
        <x:v>0</x:v>
      </x:c>
      <x:c r="R49" s="21" t="n">
        <x:f>ROUND(MIN('تنظیمات'!$B$16,MAX(0,L49*12-'تنظیمات'!$B$14)*'تنظیمات'!$B$15)/12,2)</x:f>
        <x:v>0</x:v>
      </x:c>
      <x:c r="S49" s="21" t="n">
        <x:f>SUM(M49:R49)</x:f>
        <x:v>0</x:v>
      </x:c>
      <x:c r="T49" s="21" t="n">
        <x:f>L49-S49</x:f>
        <x:v>0</x:v>
      </x:c>
      <x:c r="U49" s="22" t="n">
        <x:f>'تنظیمات'!$B$5</x:f>
        <x:v>46266</x:v>
      </x:c>
      <x:c r="V49" s="22" t="n">
        <x:f>'تنظیمات'!$B$6</x:f>
        <x:v>46295</x:v>
      </x:c>
      <x:c r="W49" s="17" t="str">
        <x:f>IF(AND(A49&lt;&gt;"",T49&gt;=0),"OK","بررسی شود")</x:f>
        <x:v>بررسی شود</x:v>
      </x:c>
    </x:row>
    <x:row r="50">
      <x:c r="A50" s="13"/>
      <x:c r="B50" s="17" t="str">
        <x:f>IFERROR(VLOOKUP(A50,'کارمندان'!$A$5:$H$205,2,FALSE),"")</x:f>
      </x:c>
      <x:c r="C50" s="21" t="str">
        <x:f>IFERROR(VLOOKUP(A50,'کارمندان'!$A$5:$H$205,5,FALSE),0)</x:f>
      </x:c>
      <x:c r="D50" s="20" t="n">
        <x:f>SUMIFS('حضور و غیاب'!$J$5:$J$205,'حضور و غیاب'!$B$5:$B$205,$A50,'حضور و غیاب'!$A$5:$A$205,"&gt;="&amp;'تنظیمات'!$B$5,'حضور و غیاب'!$A$5:$A$205,"&lt;="&amp;'تنظیمات'!$B$6)</x:f>
        <x:v>0</x:v>
      </x:c>
      <x:c r="E50" s="20" t="n">
        <x:f>SUMIFS('حضور و غیاب'!$K$5:$K$205,'حضور و غیاب'!$B$5:$B$205,$A50,'حضور و غیاب'!$A$5:$A$205,"&gt;="&amp;'تنظیمات'!$B$5,'حضور و غیاب'!$A$5:$A$205,"&lt;="&amp;'تنظیمات'!$B$6)</x:f>
        <x:v>0</x:v>
      </x:c>
      <x:c r="F50" s="20" t="n">
        <x:f>SUMIFS('حضور و غیاب'!$G$5:$G$205,'حضور و غیاب'!$B$5:$B$205,$A50,'حضور و غیاب'!$F$5:$F$205,"Paid",'حضور و غیاب'!$A$5:$A$205,"&gt;="&amp;'تنظیمات'!$B$5,'حضور و غیاب'!$A$5:$A$205,"&lt;="&amp;'تنظیمات'!$B$6)</x:f>
        <x:v>0</x:v>
      </x:c>
      <x:c r="G50" s="20" t="n">
        <x:f>SUMIFS('حضور و غیاب'!$L$5:$L$205,'حضور و غیاب'!$B$5:$B$205,$A50,'حضور و غیاب'!$A$5:$A$205,"&gt;="&amp;'تنظیمات'!$B$5,'حضور و غیاب'!$A$5:$A$205,"&lt;="&amp;'تنظیمات'!$B$6)</x:f>
        <x:v>0</x:v>
      </x:c>
      <x:c r="H50" s="21" t="n">
        <x:f>ROUND(C50*D50,2)</x:f>
        <x:v>0</x:v>
      </x:c>
      <x:c r="I50" s="21" t="n">
        <x:f>ROUND(C50*E50*'تنظیمات'!$B$7,2)</x:f>
        <x:v>0</x:v>
      </x:c>
      <x:c r="J50" s="21" t="n">
        <x:f>ROUND(C50*F50,2)</x:f>
        <x:v>0</x:v>
      </x:c>
      <x:c r="K50" s="21" t="n">
        <x:f>ROUND((H50+I50+J50)*'تنظیمات'!$B$8,2)</x:f>
        <x:v>0</x:v>
      </x:c>
      <x:c r="L50" s="21" t="n">
        <x:f>SUM(H50:K50)</x:f>
        <x:v>0</x:v>
      </x:c>
      <x:c r="M50" s="21" t="n">
        <x:f>ROUND(MAX(0,L50-'تنظیمات'!$B$9)*'تنظیمات'!$B$10,2)</x:f>
        <x:v>0</x:v>
      </x:c>
      <x:c r="N50" s="21" t="n">
        <x:f>ROUND(MAX(0,L50*12-'تنظیمات'!$B$11)/12*'تنظیمات'!$B$12,2)</x:f>
        <x:v>0</x:v>
      </x:c>
      <x:c r="O50" s="21" t="n">
        <x:f>ROUND(L50*'تنظیمات'!$B$13,2)</x:f>
        <x:v>0</x:v>
      </x:c>
      <x:c r="P50" s="21" t="n">
        <x:f>ROUND((MIN(L50*12,'تنظیمات'!$B$17)*'تنظیمات'!$B$18+MAX(0,MIN(L50*12,'تنظیمات'!$B$19)-'تنظیمات'!$B$17)*'تنظیمات'!$B$20)/12,2)</x:f>
        <x:v>0</x:v>
      </x:c>
      <x:c r="Q50" s="21" t="n">
        <x:f>ROUND(MIN(L50*12,'تنظیمات'!$B$21)*'تنظیمات'!$B$22/12,2)</x:f>
        <x:v>0</x:v>
      </x:c>
      <x:c r="R50" s="21" t="n">
        <x:f>ROUND(MIN('تنظیمات'!$B$16,MAX(0,L50*12-'تنظیمات'!$B$14)*'تنظیمات'!$B$15)/12,2)</x:f>
        <x:v>0</x:v>
      </x:c>
      <x:c r="S50" s="21" t="n">
        <x:f>SUM(M50:R50)</x:f>
        <x:v>0</x:v>
      </x:c>
      <x:c r="T50" s="21" t="n">
        <x:f>L50-S50</x:f>
        <x:v>0</x:v>
      </x:c>
      <x:c r="U50" s="22" t="n">
        <x:f>'تنظیمات'!$B$5</x:f>
        <x:v>46266</x:v>
      </x:c>
      <x:c r="V50" s="22" t="n">
        <x:f>'تنظیمات'!$B$6</x:f>
        <x:v>46295</x:v>
      </x:c>
      <x:c r="W50" s="17" t="str">
        <x:f>IF(AND(A50&lt;&gt;"",T50&gt;=0),"OK","بررسی شود")</x:f>
        <x:v>بررسی شود</x:v>
      </x:c>
    </x:row>
    <x:row r="51">
      <x:c r="A51" s="13"/>
      <x:c r="B51" s="17" t="str">
        <x:f>IFERROR(VLOOKUP(A51,'کارمندان'!$A$5:$H$205,2,FALSE),"")</x:f>
      </x:c>
      <x:c r="C51" s="21" t="str">
        <x:f>IFERROR(VLOOKUP(A51,'کارمندان'!$A$5:$H$205,5,FALSE),0)</x:f>
      </x:c>
      <x:c r="D51" s="20" t="n">
        <x:f>SUMIFS('حضور و غیاب'!$J$5:$J$205,'حضور و غیاب'!$B$5:$B$205,$A51,'حضور و غیاب'!$A$5:$A$205,"&gt;="&amp;'تنظیمات'!$B$5,'حضور و غیاب'!$A$5:$A$205,"&lt;="&amp;'تنظیمات'!$B$6)</x:f>
        <x:v>0</x:v>
      </x:c>
      <x:c r="E51" s="20" t="n">
        <x:f>SUMIFS('حضور و غیاب'!$K$5:$K$205,'حضور و غیاب'!$B$5:$B$205,$A51,'حضور و غیاب'!$A$5:$A$205,"&gt;="&amp;'تنظیمات'!$B$5,'حضور و غیاب'!$A$5:$A$205,"&lt;="&amp;'تنظیمات'!$B$6)</x:f>
        <x:v>0</x:v>
      </x:c>
      <x:c r="F51" s="20" t="n">
        <x:f>SUMIFS('حضور و غیاب'!$G$5:$G$205,'حضور و غیاب'!$B$5:$B$205,$A51,'حضور و غیاب'!$F$5:$F$205,"Paid",'حضور و غیاب'!$A$5:$A$205,"&gt;="&amp;'تنظیمات'!$B$5,'حضور و غیاب'!$A$5:$A$205,"&lt;="&amp;'تنظیمات'!$B$6)</x:f>
        <x:v>0</x:v>
      </x:c>
      <x:c r="G51" s="20" t="n">
        <x:f>SUMIFS('حضور و غیاب'!$L$5:$L$205,'حضور و غیاب'!$B$5:$B$205,$A51,'حضور و غیاب'!$A$5:$A$205,"&gt;="&amp;'تنظیمات'!$B$5,'حضور و غیاب'!$A$5:$A$205,"&lt;="&amp;'تنظیمات'!$B$6)</x:f>
        <x:v>0</x:v>
      </x:c>
      <x:c r="H51" s="21" t="n">
        <x:f>ROUND(C51*D51,2)</x:f>
        <x:v>0</x:v>
      </x:c>
      <x:c r="I51" s="21" t="n">
        <x:f>ROUND(C51*E51*'تنظیمات'!$B$7,2)</x:f>
        <x:v>0</x:v>
      </x:c>
      <x:c r="J51" s="21" t="n">
        <x:f>ROUND(C51*F51,2)</x:f>
        <x:v>0</x:v>
      </x:c>
      <x:c r="K51" s="21" t="n">
        <x:f>ROUND((H51+I51+J51)*'تنظیمات'!$B$8,2)</x:f>
        <x:v>0</x:v>
      </x:c>
      <x:c r="L51" s="21" t="n">
        <x:f>SUM(H51:K51)</x:f>
        <x:v>0</x:v>
      </x:c>
      <x:c r="M51" s="21" t="n">
        <x:f>ROUND(MAX(0,L51-'تنظیمات'!$B$9)*'تنظیمات'!$B$10,2)</x:f>
        <x:v>0</x:v>
      </x:c>
      <x:c r="N51" s="21" t="n">
        <x:f>ROUND(MAX(0,L51*12-'تنظیمات'!$B$11)/12*'تنظیمات'!$B$12,2)</x:f>
        <x:v>0</x:v>
      </x:c>
      <x:c r="O51" s="21" t="n">
        <x:f>ROUND(L51*'تنظیمات'!$B$13,2)</x:f>
        <x:v>0</x:v>
      </x:c>
      <x:c r="P51" s="21" t="n">
        <x:f>ROUND((MIN(L51*12,'تنظیمات'!$B$17)*'تنظیمات'!$B$18+MAX(0,MIN(L51*12,'تنظیمات'!$B$19)-'تنظیمات'!$B$17)*'تنظیمات'!$B$20)/12,2)</x:f>
        <x:v>0</x:v>
      </x:c>
      <x:c r="Q51" s="21" t="n">
        <x:f>ROUND(MIN(L51*12,'تنظیمات'!$B$21)*'تنظیمات'!$B$22/12,2)</x:f>
        <x:v>0</x:v>
      </x:c>
      <x:c r="R51" s="21" t="n">
        <x:f>ROUND(MIN('تنظیمات'!$B$16,MAX(0,L51*12-'تنظیمات'!$B$14)*'تنظیمات'!$B$15)/12,2)</x:f>
        <x:v>0</x:v>
      </x:c>
      <x:c r="S51" s="21" t="n">
        <x:f>SUM(M51:R51)</x:f>
        <x:v>0</x:v>
      </x:c>
      <x:c r="T51" s="21" t="n">
        <x:f>L51-S51</x:f>
        <x:v>0</x:v>
      </x:c>
      <x:c r="U51" s="22" t="n">
        <x:f>'تنظیمات'!$B$5</x:f>
        <x:v>46266</x:v>
      </x:c>
      <x:c r="V51" s="22" t="n">
        <x:f>'تنظیمات'!$B$6</x:f>
        <x:v>46295</x:v>
      </x:c>
      <x:c r="W51" s="17" t="str">
        <x:f>IF(AND(A51&lt;&gt;"",T51&gt;=0),"OK","بررسی شود")</x:f>
        <x:v>بررسی شود</x:v>
      </x:c>
    </x:row>
    <x:row r="52">
      <x:c r="A52" s="13"/>
      <x:c r="B52" s="17" t="str">
        <x:f>IFERROR(VLOOKUP(A52,'کارمندان'!$A$5:$H$205,2,FALSE),"")</x:f>
      </x:c>
      <x:c r="C52" s="21" t="str">
        <x:f>IFERROR(VLOOKUP(A52,'کارمندان'!$A$5:$H$205,5,FALSE),0)</x:f>
      </x:c>
      <x:c r="D52" s="20" t="n">
        <x:f>SUMIFS('حضور و غیاب'!$J$5:$J$205,'حضور و غیاب'!$B$5:$B$205,$A52,'حضور و غیاب'!$A$5:$A$205,"&gt;="&amp;'تنظیمات'!$B$5,'حضور و غیاب'!$A$5:$A$205,"&lt;="&amp;'تنظیمات'!$B$6)</x:f>
        <x:v>0</x:v>
      </x:c>
      <x:c r="E52" s="20" t="n">
        <x:f>SUMIFS('حضور و غیاب'!$K$5:$K$205,'حضور و غیاب'!$B$5:$B$205,$A52,'حضور و غیاب'!$A$5:$A$205,"&gt;="&amp;'تنظیمات'!$B$5,'حضور و غیاب'!$A$5:$A$205,"&lt;="&amp;'تنظیمات'!$B$6)</x:f>
        <x:v>0</x:v>
      </x:c>
      <x:c r="F52" s="20" t="n">
        <x:f>SUMIFS('حضور و غیاب'!$G$5:$G$205,'حضور و غیاب'!$B$5:$B$205,$A52,'حضور و غیاب'!$F$5:$F$205,"Paid",'حضور و غیاب'!$A$5:$A$205,"&gt;="&amp;'تنظیمات'!$B$5,'حضور و غیاب'!$A$5:$A$205,"&lt;="&amp;'تنظیمات'!$B$6)</x:f>
        <x:v>0</x:v>
      </x:c>
      <x:c r="G52" s="20" t="n">
        <x:f>SUMIFS('حضور و غیاب'!$L$5:$L$205,'حضور و غیاب'!$B$5:$B$205,$A52,'حضور و غیاب'!$A$5:$A$205,"&gt;="&amp;'تنظیمات'!$B$5,'حضور و غیاب'!$A$5:$A$205,"&lt;="&amp;'تنظیمات'!$B$6)</x:f>
        <x:v>0</x:v>
      </x:c>
      <x:c r="H52" s="21" t="n">
        <x:f>ROUND(C52*D52,2)</x:f>
        <x:v>0</x:v>
      </x:c>
      <x:c r="I52" s="21" t="n">
        <x:f>ROUND(C52*E52*'تنظیمات'!$B$7,2)</x:f>
        <x:v>0</x:v>
      </x:c>
      <x:c r="J52" s="21" t="n">
        <x:f>ROUND(C52*F52,2)</x:f>
        <x:v>0</x:v>
      </x:c>
      <x:c r="K52" s="21" t="n">
        <x:f>ROUND((H52+I52+J52)*'تنظیمات'!$B$8,2)</x:f>
        <x:v>0</x:v>
      </x:c>
      <x:c r="L52" s="21" t="n">
        <x:f>SUM(H52:K52)</x:f>
        <x:v>0</x:v>
      </x:c>
      <x:c r="M52" s="21" t="n">
        <x:f>ROUND(MAX(0,L52-'تنظیمات'!$B$9)*'تنظیمات'!$B$10,2)</x:f>
        <x:v>0</x:v>
      </x:c>
      <x:c r="N52" s="21" t="n">
        <x:f>ROUND(MAX(0,L52*12-'تنظیمات'!$B$11)/12*'تنظیمات'!$B$12,2)</x:f>
        <x:v>0</x:v>
      </x:c>
      <x:c r="O52" s="21" t="n">
        <x:f>ROUND(L52*'تنظیمات'!$B$13,2)</x:f>
        <x:v>0</x:v>
      </x:c>
      <x:c r="P52" s="21" t="n">
        <x:f>ROUND((MIN(L52*12,'تنظیمات'!$B$17)*'تنظیمات'!$B$18+MAX(0,MIN(L52*12,'تنظیمات'!$B$19)-'تنظیمات'!$B$17)*'تنظیمات'!$B$20)/12,2)</x:f>
        <x:v>0</x:v>
      </x:c>
      <x:c r="Q52" s="21" t="n">
        <x:f>ROUND(MIN(L52*12,'تنظیمات'!$B$21)*'تنظیمات'!$B$22/12,2)</x:f>
        <x:v>0</x:v>
      </x:c>
      <x:c r="R52" s="21" t="n">
        <x:f>ROUND(MIN('تنظیمات'!$B$16,MAX(0,L52*12-'تنظیمات'!$B$14)*'تنظیمات'!$B$15)/12,2)</x:f>
        <x:v>0</x:v>
      </x:c>
      <x:c r="S52" s="21" t="n">
        <x:f>SUM(M52:R52)</x:f>
        <x:v>0</x:v>
      </x:c>
      <x:c r="T52" s="21" t="n">
        <x:f>L52-S52</x:f>
        <x:v>0</x:v>
      </x:c>
      <x:c r="U52" s="22" t="n">
        <x:f>'تنظیمات'!$B$5</x:f>
        <x:v>46266</x:v>
      </x:c>
      <x:c r="V52" s="22" t="n">
        <x:f>'تنظیمات'!$B$6</x:f>
        <x:v>46295</x:v>
      </x:c>
      <x:c r="W52" s="17" t="str">
        <x:f>IF(AND(A52&lt;&gt;"",T52&gt;=0),"OK","بررسی شود")</x:f>
        <x:v>بررسی شود</x:v>
      </x:c>
    </x:row>
    <x:row r="53">
      <x:c r="A53" s="13"/>
      <x:c r="B53" s="17" t="str">
        <x:f>IFERROR(VLOOKUP(A53,'کارمندان'!$A$5:$H$205,2,FALSE),"")</x:f>
      </x:c>
      <x:c r="C53" s="21" t="str">
        <x:f>IFERROR(VLOOKUP(A53,'کارمندان'!$A$5:$H$205,5,FALSE),0)</x:f>
      </x:c>
      <x:c r="D53" s="20" t="n">
        <x:f>SUMIFS('حضور و غیاب'!$J$5:$J$205,'حضور و غیاب'!$B$5:$B$205,$A53,'حضور و غیاب'!$A$5:$A$205,"&gt;="&amp;'تنظیمات'!$B$5,'حضور و غیاب'!$A$5:$A$205,"&lt;="&amp;'تنظیمات'!$B$6)</x:f>
        <x:v>0</x:v>
      </x:c>
      <x:c r="E53" s="20" t="n">
        <x:f>SUMIFS('حضور و غیاب'!$K$5:$K$205,'حضور و غیاب'!$B$5:$B$205,$A53,'حضور و غیاب'!$A$5:$A$205,"&gt;="&amp;'تنظیمات'!$B$5,'حضور و غیاب'!$A$5:$A$205,"&lt;="&amp;'تنظیمات'!$B$6)</x:f>
        <x:v>0</x:v>
      </x:c>
      <x:c r="F53" s="20" t="n">
        <x:f>SUMIFS('حضور و غیاب'!$G$5:$G$205,'حضور و غیاب'!$B$5:$B$205,$A53,'حضور و غیاب'!$F$5:$F$205,"Paid",'حضور و غیاب'!$A$5:$A$205,"&gt;="&amp;'تنظیمات'!$B$5,'حضور و غیاب'!$A$5:$A$205,"&lt;="&amp;'تنظیمات'!$B$6)</x:f>
        <x:v>0</x:v>
      </x:c>
      <x:c r="G53" s="20" t="n">
        <x:f>SUMIFS('حضور و غیاب'!$L$5:$L$205,'حضور و غیاب'!$B$5:$B$205,$A53,'حضور و غیاب'!$A$5:$A$205,"&gt;="&amp;'تنظیمات'!$B$5,'حضور و غیاب'!$A$5:$A$205,"&lt;="&amp;'تنظیمات'!$B$6)</x:f>
        <x:v>0</x:v>
      </x:c>
      <x:c r="H53" s="21" t="n">
        <x:f>ROUND(C53*D53,2)</x:f>
        <x:v>0</x:v>
      </x:c>
      <x:c r="I53" s="21" t="n">
        <x:f>ROUND(C53*E53*'تنظیمات'!$B$7,2)</x:f>
        <x:v>0</x:v>
      </x:c>
      <x:c r="J53" s="21" t="n">
        <x:f>ROUND(C53*F53,2)</x:f>
        <x:v>0</x:v>
      </x:c>
      <x:c r="K53" s="21" t="n">
        <x:f>ROUND((H53+I53+J53)*'تنظیمات'!$B$8,2)</x:f>
        <x:v>0</x:v>
      </x:c>
      <x:c r="L53" s="21" t="n">
        <x:f>SUM(H53:K53)</x:f>
        <x:v>0</x:v>
      </x:c>
      <x:c r="M53" s="21" t="n">
        <x:f>ROUND(MAX(0,L53-'تنظیمات'!$B$9)*'تنظیمات'!$B$10,2)</x:f>
        <x:v>0</x:v>
      </x:c>
      <x:c r="N53" s="21" t="n">
        <x:f>ROUND(MAX(0,L53*12-'تنظیمات'!$B$11)/12*'تنظیمات'!$B$12,2)</x:f>
        <x:v>0</x:v>
      </x:c>
      <x:c r="O53" s="21" t="n">
        <x:f>ROUND(L53*'تنظیمات'!$B$13,2)</x:f>
        <x:v>0</x:v>
      </x:c>
      <x:c r="P53" s="21" t="n">
        <x:f>ROUND((MIN(L53*12,'تنظیمات'!$B$17)*'تنظیمات'!$B$18+MAX(0,MIN(L53*12,'تنظیمات'!$B$19)-'تنظیمات'!$B$17)*'تنظیمات'!$B$20)/12,2)</x:f>
        <x:v>0</x:v>
      </x:c>
      <x:c r="Q53" s="21" t="n">
        <x:f>ROUND(MIN(L53*12,'تنظیمات'!$B$21)*'تنظیمات'!$B$22/12,2)</x:f>
        <x:v>0</x:v>
      </x:c>
      <x:c r="R53" s="21" t="n">
        <x:f>ROUND(MIN('تنظیمات'!$B$16,MAX(0,L53*12-'تنظیمات'!$B$14)*'تنظیمات'!$B$15)/12,2)</x:f>
        <x:v>0</x:v>
      </x:c>
      <x:c r="S53" s="21" t="n">
        <x:f>SUM(M53:R53)</x:f>
        <x:v>0</x:v>
      </x:c>
      <x:c r="T53" s="21" t="n">
        <x:f>L53-S53</x:f>
        <x:v>0</x:v>
      </x:c>
      <x:c r="U53" s="22" t="n">
        <x:f>'تنظیمات'!$B$5</x:f>
        <x:v>46266</x:v>
      </x:c>
      <x:c r="V53" s="22" t="n">
        <x:f>'تنظیمات'!$B$6</x:f>
        <x:v>46295</x:v>
      </x:c>
      <x:c r="W53" s="17" t="str">
        <x:f>IF(AND(A53&lt;&gt;"",T53&gt;=0),"OK","بررسی شود")</x:f>
        <x:v>بررسی شود</x:v>
      </x:c>
    </x:row>
    <x:row r="54">
      <x:c r="A54" s="13"/>
      <x:c r="B54" s="17" t="str">
        <x:f>IFERROR(VLOOKUP(A54,'کارمندان'!$A$5:$H$205,2,FALSE),"")</x:f>
      </x:c>
      <x:c r="C54" s="21" t="str">
        <x:f>IFERROR(VLOOKUP(A54,'کارمندان'!$A$5:$H$205,5,FALSE),0)</x:f>
      </x:c>
      <x:c r="D54" s="20" t="n">
        <x:f>SUMIFS('حضور و غیاب'!$J$5:$J$205,'حضور و غیاب'!$B$5:$B$205,$A54,'حضور و غیاب'!$A$5:$A$205,"&gt;="&amp;'تنظیمات'!$B$5,'حضور و غیاب'!$A$5:$A$205,"&lt;="&amp;'تنظیمات'!$B$6)</x:f>
        <x:v>0</x:v>
      </x:c>
      <x:c r="E54" s="20" t="n">
        <x:f>SUMIFS('حضور و غیاب'!$K$5:$K$205,'حضور و غیاب'!$B$5:$B$205,$A54,'حضور و غیاب'!$A$5:$A$205,"&gt;="&amp;'تنظیمات'!$B$5,'حضور و غیاب'!$A$5:$A$205,"&lt;="&amp;'تنظیمات'!$B$6)</x:f>
        <x:v>0</x:v>
      </x:c>
      <x:c r="F54" s="20" t="n">
        <x:f>SUMIFS('حضور و غیاب'!$G$5:$G$205,'حضور و غیاب'!$B$5:$B$205,$A54,'حضور و غیاب'!$F$5:$F$205,"Paid",'حضور و غیاب'!$A$5:$A$205,"&gt;="&amp;'تنظیمات'!$B$5,'حضور و غیاب'!$A$5:$A$205,"&lt;="&amp;'تنظیمات'!$B$6)</x:f>
        <x:v>0</x:v>
      </x:c>
      <x:c r="G54" s="20" t="n">
        <x:f>SUMIFS('حضور و غیاب'!$L$5:$L$205,'حضور و غیاب'!$B$5:$B$205,$A54,'حضور و غیاب'!$A$5:$A$205,"&gt;="&amp;'تنظیمات'!$B$5,'حضور و غیاب'!$A$5:$A$205,"&lt;="&amp;'تنظیمات'!$B$6)</x:f>
        <x:v>0</x:v>
      </x:c>
      <x:c r="H54" s="21" t="n">
        <x:f>ROUND(C54*D54,2)</x:f>
        <x:v>0</x:v>
      </x:c>
      <x:c r="I54" s="21" t="n">
        <x:f>ROUND(C54*E54*'تنظیمات'!$B$7,2)</x:f>
        <x:v>0</x:v>
      </x:c>
      <x:c r="J54" s="21" t="n">
        <x:f>ROUND(C54*F54,2)</x:f>
        <x:v>0</x:v>
      </x:c>
      <x:c r="K54" s="21" t="n">
        <x:f>ROUND((H54+I54+J54)*'تنظیمات'!$B$8,2)</x:f>
        <x:v>0</x:v>
      </x:c>
      <x:c r="L54" s="21" t="n">
        <x:f>SUM(H54:K54)</x:f>
        <x:v>0</x:v>
      </x:c>
      <x:c r="M54" s="21" t="n">
        <x:f>ROUND(MAX(0,L54-'تنظیمات'!$B$9)*'تنظیمات'!$B$10,2)</x:f>
        <x:v>0</x:v>
      </x:c>
      <x:c r="N54" s="21" t="n">
        <x:f>ROUND(MAX(0,L54*12-'تنظیمات'!$B$11)/12*'تنظیمات'!$B$12,2)</x:f>
        <x:v>0</x:v>
      </x:c>
      <x:c r="O54" s="21" t="n">
        <x:f>ROUND(L54*'تنظیمات'!$B$13,2)</x:f>
        <x:v>0</x:v>
      </x:c>
      <x:c r="P54" s="21" t="n">
        <x:f>ROUND((MIN(L54*12,'تنظیمات'!$B$17)*'تنظیمات'!$B$18+MAX(0,MIN(L54*12,'تنظیمات'!$B$19)-'تنظیمات'!$B$17)*'تنظیمات'!$B$20)/12,2)</x:f>
        <x:v>0</x:v>
      </x:c>
      <x:c r="Q54" s="21" t="n">
        <x:f>ROUND(MIN(L54*12,'تنظیمات'!$B$21)*'تنظیمات'!$B$22/12,2)</x:f>
        <x:v>0</x:v>
      </x:c>
      <x:c r="R54" s="21" t="n">
        <x:f>ROUND(MIN('تنظیمات'!$B$16,MAX(0,L54*12-'تنظیمات'!$B$14)*'تنظیمات'!$B$15)/12,2)</x:f>
        <x:v>0</x:v>
      </x:c>
      <x:c r="S54" s="21" t="n">
        <x:f>SUM(M54:R54)</x:f>
        <x:v>0</x:v>
      </x:c>
      <x:c r="T54" s="21" t="n">
        <x:f>L54-S54</x:f>
        <x:v>0</x:v>
      </x:c>
      <x:c r="U54" s="22" t="n">
        <x:f>'تنظیمات'!$B$5</x:f>
        <x:v>46266</x:v>
      </x:c>
      <x:c r="V54" s="22" t="n">
        <x:f>'تنظیمات'!$B$6</x:f>
        <x:v>46295</x:v>
      </x:c>
      <x:c r="W54" s="17" t="str">
        <x:f>IF(AND(A54&lt;&gt;"",T54&gt;=0),"OK","بررسی شود")</x:f>
        <x:v>بررسی شود</x:v>
      </x:c>
    </x:row>
    <x:row r="55">
      <x:c r="A55" s="13"/>
      <x:c r="B55" s="17" t="str">
        <x:f>IFERROR(VLOOKUP(A55,'کارمندان'!$A$5:$H$205,2,FALSE),"")</x:f>
      </x:c>
      <x:c r="C55" s="21" t="str">
        <x:f>IFERROR(VLOOKUP(A55,'کارمندان'!$A$5:$H$205,5,FALSE),0)</x:f>
      </x:c>
      <x:c r="D55" s="20" t="n">
        <x:f>SUMIFS('حضور و غیاب'!$J$5:$J$205,'حضور و غیاب'!$B$5:$B$205,$A55,'حضور و غیاب'!$A$5:$A$205,"&gt;="&amp;'تنظیمات'!$B$5,'حضور و غیاب'!$A$5:$A$205,"&lt;="&amp;'تنظیمات'!$B$6)</x:f>
        <x:v>0</x:v>
      </x:c>
      <x:c r="E55" s="20" t="n">
        <x:f>SUMIFS('حضور و غیاب'!$K$5:$K$205,'حضور و غیاب'!$B$5:$B$205,$A55,'حضور و غیاب'!$A$5:$A$205,"&gt;="&amp;'تنظیمات'!$B$5,'حضور و غیاب'!$A$5:$A$205,"&lt;="&amp;'تنظیمات'!$B$6)</x:f>
        <x:v>0</x:v>
      </x:c>
      <x:c r="F55" s="20" t="n">
        <x:f>SUMIFS('حضور و غیاب'!$G$5:$G$205,'حضور و غیاب'!$B$5:$B$205,$A55,'حضور و غیاب'!$F$5:$F$205,"Paid",'حضور و غیاب'!$A$5:$A$205,"&gt;="&amp;'تنظیمات'!$B$5,'حضور و غیاب'!$A$5:$A$205,"&lt;="&amp;'تنظیمات'!$B$6)</x:f>
        <x:v>0</x:v>
      </x:c>
      <x:c r="G55" s="20" t="n">
        <x:f>SUMIFS('حضور و غیاب'!$L$5:$L$205,'حضور و غیاب'!$B$5:$B$205,$A55,'حضور و غیاب'!$A$5:$A$205,"&gt;="&amp;'تنظیمات'!$B$5,'حضور و غیاب'!$A$5:$A$205,"&lt;="&amp;'تنظیمات'!$B$6)</x:f>
        <x:v>0</x:v>
      </x:c>
      <x:c r="H55" s="21" t="n">
        <x:f>ROUND(C55*D55,2)</x:f>
        <x:v>0</x:v>
      </x:c>
      <x:c r="I55" s="21" t="n">
        <x:f>ROUND(C55*E55*'تنظیمات'!$B$7,2)</x:f>
        <x:v>0</x:v>
      </x:c>
      <x:c r="J55" s="21" t="n">
        <x:f>ROUND(C55*F55,2)</x:f>
        <x:v>0</x:v>
      </x:c>
      <x:c r="K55" s="21" t="n">
        <x:f>ROUND((H55+I55+J55)*'تنظیمات'!$B$8,2)</x:f>
        <x:v>0</x:v>
      </x:c>
      <x:c r="L55" s="21" t="n">
        <x:f>SUM(H55:K55)</x:f>
        <x:v>0</x:v>
      </x:c>
      <x:c r="M55" s="21" t="n">
        <x:f>ROUND(MAX(0,L55-'تنظیمات'!$B$9)*'تنظیمات'!$B$10,2)</x:f>
        <x:v>0</x:v>
      </x:c>
      <x:c r="N55" s="21" t="n">
        <x:f>ROUND(MAX(0,L55*12-'تنظیمات'!$B$11)/12*'تنظیمات'!$B$12,2)</x:f>
        <x:v>0</x:v>
      </x:c>
      <x:c r="O55" s="21" t="n">
        <x:f>ROUND(L55*'تنظیمات'!$B$13,2)</x:f>
        <x:v>0</x:v>
      </x:c>
      <x:c r="P55" s="21" t="n">
        <x:f>ROUND((MIN(L55*12,'تنظیمات'!$B$17)*'تنظیمات'!$B$18+MAX(0,MIN(L55*12,'تنظیمات'!$B$19)-'تنظیمات'!$B$17)*'تنظیمات'!$B$20)/12,2)</x:f>
        <x:v>0</x:v>
      </x:c>
      <x:c r="Q55" s="21" t="n">
        <x:f>ROUND(MIN(L55*12,'تنظیمات'!$B$21)*'تنظیمات'!$B$22/12,2)</x:f>
        <x:v>0</x:v>
      </x:c>
      <x:c r="R55" s="21" t="n">
        <x:f>ROUND(MIN('تنظیمات'!$B$16,MAX(0,L55*12-'تنظیمات'!$B$14)*'تنظیمات'!$B$15)/12,2)</x:f>
        <x:v>0</x:v>
      </x:c>
      <x:c r="S55" s="21" t="n">
        <x:f>SUM(M55:R55)</x:f>
        <x:v>0</x:v>
      </x:c>
      <x:c r="T55" s="21" t="n">
        <x:f>L55-S55</x:f>
        <x:v>0</x:v>
      </x:c>
      <x:c r="U55" s="22" t="n">
        <x:f>'تنظیمات'!$B$5</x:f>
        <x:v>46266</x:v>
      </x:c>
      <x:c r="V55" s="22" t="n">
        <x:f>'تنظیمات'!$B$6</x:f>
        <x:v>46295</x:v>
      </x:c>
      <x:c r="W55" s="17" t="str">
        <x:f>IF(AND(A55&lt;&gt;"",T55&gt;=0),"OK","بررسی شود")</x:f>
        <x:v>بررسی شود</x:v>
      </x:c>
    </x:row>
    <x:row r="56">
      <x:c r="A56" s="13"/>
      <x:c r="B56" s="17" t="str">
        <x:f>IFERROR(VLOOKUP(A56,'کارمندان'!$A$5:$H$205,2,FALSE),"")</x:f>
      </x:c>
      <x:c r="C56" s="21" t="str">
        <x:f>IFERROR(VLOOKUP(A56,'کارمندان'!$A$5:$H$205,5,FALSE),0)</x:f>
      </x:c>
      <x:c r="D56" s="20" t="n">
        <x:f>SUMIFS('حضور و غیاب'!$J$5:$J$205,'حضور و غیاب'!$B$5:$B$205,$A56,'حضور و غیاب'!$A$5:$A$205,"&gt;="&amp;'تنظیمات'!$B$5,'حضور و غیاب'!$A$5:$A$205,"&lt;="&amp;'تنظیمات'!$B$6)</x:f>
        <x:v>0</x:v>
      </x:c>
      <x:c r="E56" s="20" t="n">
        <x:f>SUMIFS('حضور و غیاب'!$K$5:$K$205,'حضور و غیاب'!$B$5:$B$205,$A56,'حضور و غیاب'!$A$5:$A$205,"&gt;="&amp;'تنظیمات'!$B$5,'حضور و غیاب'!$A$5:$A$205,"&lt;="&amp;'تنظیمات'!$B$6)</x:f>
        <x:v>0</x:v>
      </x:c>
      <x:c r="F56" s="20" t="n">
        <x:f>SUMIFS('حضور و غیاب'!$G$5:$G$205,'حضور و غیاب'!$B$5:$B$205,$A56,'حضور و غیاب'!$F$5:$F$205,"Paid",'حضور و غیاب'!$A$5:$A$205,"&gt;="&amp;'تنظیمات'!$B$5,'حضور و غیاب'!$A$5:$A$205,"&lt;="&amp;'تنظیمات'!$B$6)</x:f>
        <x:v>0</x:v>
      </x:c>
      <x:c r="G56" s="20" t="n">
        <x:f>SUMIFS('حضور و غیاب'!$L$5:$L$205,'حضور و غیاب'!$B$5:$B$205,$A56,'حضور و غیاب'!$A$5:$A$205,"&gt;="&amp;'تنظیمات'!$B$5,'حضور و غیاب'!$A$5:$A$205,"&lt;="&amp;'تنظیمات'!$B$6)</x:f>
        <x:v>0</x:v>
      </x:c>
      <x:c r="H56" s="21" t="n">
        <x:f>ROUND(C56*D56,2)</x:f>
        <x:v>0</x:v>
      </x:c>
      <x:c r="I56" s="21" t="n">
        <x:f>ROUND(C56*E56*'تنظیمات'!$B$7,2)</x:f>
        <x:v>0</x:v>
      </x:c>
      <x:c r="J56" s="21" t="n">
        <x:f>ROUND(C56*F56,2)</x:f>
        <x:v>0</x:v>
      </x:c>
      <x:c r="K56" s="21" t="n">
        <x:f>ROUND((H56+I56+J56)*'تنظیمات'!$B$8,2)</x:f>
        <x:v>0</x:v>
      </x:c>
      <x:c r="L56" s="21" t="n">
        <x:f>SUM(H56:K56)</x:f>
        <x:v>0</x:v>
      </x:c>
      <x:c r="M56" s="21" t="n">
        <x:f>ROUND(MAX(0,L56-'تنظیمات'!$B$9)*'تنظیمات'!$B$10,2)</x:f>
        <x:v>0</x:v>
      </x:c>
      <x:c r="N56" s="21" t="n">
        <x:f>ROUND(MAX(0,L56*12-'تنظیمات'!$B$11)/12*'تنظیمات'!$B$12,2)</x:f>
        <x:v>0</x:v>
      </x:c>
      <x:c r="O56" s="21" t="n">
        <x:f>ROUND(L56*'تنظیمات'!$B$13,2)</x:f>
        <x:v>0</x:v>
      </x:c>
      <x:c r="P56" s="21" t="n">
        <x:f>ROUND((MIN(L56*12,'تنظیمات'!$B$17)*'تنظیمات'!$B$18+MAX(0,MIN(L56*12,'تنظیمات'!$B$19)-'تنظیمات'!$B$17)*'تنظیمات'!$B$20)/12,2)</x:f>
        <x:v>0</x:v>
      </x:c>
      <x:c r="Q56" s="21" t="n">
        <x:f>ROUND(MIN(L56*12,'تنظیمات'!$B$21)*'تنظیمات'!$B$22/12,2)</x:f>
        <x:v>0</x:v>
      </x:c>
      <x:c r="R56" s="21" t="n">
        <x:f>ROUND(MIN('تنظیمات'!$B$16,MAX(0,L56*12-'تنظیمات'!$B$14)*'تنظیمات'!$B$15)/12,2)</x:f>
        <x:v>0</x:v>
      </x:c>
      <x:c r="S56" s="21" t="n">
        <x:f>SUM(M56:R56)</x:f>
        <x:v>0</x:v>
      </x:c>
      <x:c r="T56" s="21" t="n">
        <x:f>L56-S56</x:f>
        <x:v>0</x:v>
      </x:c>
      <x:c r="U56" s="22" t="n">
        <x:f>'تنظیمات'!$B$5</x:f>
        <x:v>46266</x:v>
      </x:c>
      <x:c r="V56" s="22" t="n">
        <x:f>'تنظیمات'!$B$6</x:f>
        <x:v>46295</x:v>
      </x:c>
      <x:c r="W56" s="17" t="str">
        <x:f>IF(AND(A56&lt;&gt;"",T56&gt;=0),"OK","بررسی شود")</x:f>
        <x:v>بررسی شود</x:v>
      </x:c>
    </x:row>
    <x:row r="57">
      <x:c r="A57" s="13"/>
      <x:c r="B57" s="17" t="str">
        <x:f>IFERROR(VLOOKUP(A57,'کارمندان'!$A$5:$H$205,2,FALSE),"")</x:f>
      </x:c>
      <x:c r="C57" s="21" t="str">
        <x:f>IFERROR(VLOOKUP(A57,'کارمندان'!$A$5:$H$205,5,FALSE),0)</x:f>
      </x:c>
      <x:c r="D57" s="20" t="n">
        <x:f>SUMIFS('حضور و غیاب'!$J$5:$J$205,'حضور و غیاب'!$B$5:$B$205,$A57,'حضور و غیاب'!$A$5:$A$205,"&gt;="&amp;'تنظیمات'!$B$5,'حضور و غیاب'!$A$5:$A$205,"&lt;="&amp;'تنظیمات'!$B$6)</x:f>
        <x:v>0</x:v>
      </x:c>
      <x:c r="E57" s="20" t="n">
        <x:f>SUMIFS('حضور و غیاب'!$K$5:$K$205,'حضور و غیاب'!$B$5:$B$205,$A57,'حضور و غیاب'!$A$5:$A$205,"&gt;="&amp;'تنظیمات'!$B$5,'حضور و غیاب'!$A$5:$A$205,"&lt;="&amp;'تنظیمات'!$B$6)</x:f>
        <x:v>0</x:v>
      </x:c>
      <x:c r="F57" s="20" t="n">
        <x:f>SUMIFS('حضور و غیاب'!$G$5:$G$205,'حضور و غیاب'!$B$5:$B$205,$A57,'حضور و غیاب'!$F$5:$F$205,"Paid",'حضور و غیاب'!$A$5:$A$205,"&gt;="&amp;'تنظیمات'!$B$5,'حضور و غیاب'!$A$5:$A$205,"&lt;="&amp;'تنظیمات'!$B$6)</x:f>
        <x:v>0</x:v>
      </x:c>
      <x:c r="G57" s="20" t="n">
        <x:f>SUMIFS('حضور و غیاب'!$L$5:$L$205,'حضور و غیاب'!$B$5:$B$205,$A57,'حضور و غیاب'!$A$5:$A$205,"&gt;="&amp;'تنظیمات'!$B$5,'حضور و غیاب'!$A$5:$A$205,"&lt;="&amp;'تنظیمات'!$B$6)</x:f>
        <x:v>0</x:v>
      </x:c>
      <x:c r="H57" s="21" t="n">
        <x:f>ROUND(C57*D57,2)</x:f>
        <x:v>0</x:v>
      </x:c>
      <x:c r="I57" s="21" t="n">
        <x:f>ROUND(C57*E57*'تنظیمات'!$B$7,2)</x:f>
        <x:v>0</x:v>
      </x:c>
      <x:c r="J57" s="21" t="n">
        <x:f>ROUND(C57*F57,2)</x:f>
        <x:v>0</x:v>
      </x:c>
      <x:c r="K57" s="21" t="n">
        <x:f>ROUND((H57+I57+J57)*'تنظیمات'!$B$8,2)</x:f>
        <x:v>0</x:v>
      </x:c>
      <x:c r="L57" s="21" t="n">
        <x:f>SUM(H57:K57)</x:f>
        <x:v>0</x:v>
      </x:c>
      <x:c r="M57" s="21" t="n">
        <x:f>ROUND(MAX(0,L57-'تنظیمات'!$B$9)*'تنظیمات'!$B$10,2)</x:f>
        <x:v>0</x:v>
      </x:c>
      <x:c r="N57" s="21" t="n">
        <x:f>ROUND(MAX(0,L57*12-'تنظیمات'!$B$11)/12*'تنظیمات'!$B$12,2)</x:f>
        <x:v>0</x:v>
      </x:c>
      <x:c r="O57" s="21" t="n">
        <x:f>ROUND(L57*'تنظیمات'!$B$13,2)</x:f>
        <x:v>0</x:v>
      </x:c>
      <x:c r="P57" s="21" t="n">
        <x:f>ROUND((MIN(L57*12,'تنظیمات'!$B$17)*'تنظیمات'!$B$18+MAX(0,MIN(L57*12,'تنظیمات'!$B$19)-'تنظیمات'!$B$17)*'تنظیمات'!$B$20)/12,2)</x:f>
        <x:v>0</x:v>
      </x:c>
      <x:c r="Q57" s="21" t="n">
        <x:f>ROUND(MIN(L57*12,'تنظیمات'!$B$21)*'تنظیمات'!$B$22/12,2)</x:f>
        <x:v>0</x:v>
      </x:c>
      <x:c r="R57" s="21" t="n">
        <x:f>ROUND(MIN('تنظیمات'!$B$16,MAX(0,L57*12-'تنظیمات'!$B$14)*'تنظیمات'!$B$15)/12,2)</x:f>
        <x:v>0</x:v>
      </x:c>
      <x:c r="S57" s="21" t="n">
        <x:f>SUM(M57:R57)</x:f>
        <x:v>0</x:v>
      </x:c>
      <x:c r="T57" s="21" t="n">
        <x:f>L57-S57</x:f>
        <x:v>0</x:v>
      </x:c>
      <x:c r="U57" s="22" t="n">
        <x:f>'تنظیمات'!$B$5</x:f>
        <x:v>46266</x:v>
      </x:c>
      <x:c r="V57" s="22" t="n">
        <x:f>'تنظیمات'!$B$6</x:f>
        <x:v>46295</x:v>
      </x:c>
      <x:c r="W57" s="17" t="str">
        <x:f>IF(AND(A57&lt;&gt;"",T57&gt;=0),"OK","بررسی شود")</x:f>
        <x:v>بررسی شود</x:v>
      </x:c>
    </x:row>
    <x:row r="58">
      <x:c r="A58" s="13"/>
      <x:c r="B58" s="17" t="str">
        <x:f>IFERROR(VLOOKUP(A58,'کارمندان'!$A$5:$H$205,2,FALSE),"")</x:f>
      </x:c>
      <x:c r="C58" s="21" t="str">
        <x:f>IFERROR(VLOOKUP(A58,'کارمندان'!$A$5:$H$205,5,FALSE),0)</x:f>
      </x:c>
      <x:c r="D58" s="20" t="n">
        <x:f>SUMIFS('حضور و غیاب'!$J$5:$J$205,'حضور و غیاب'!$B$5:$B$205,$A58,'حضور و غیاب'!$A$5:$A$205,"&gt;="&amp;'تنظیمات'!$B$5,'حضور و غیاب'!$A$5:$A$205,"&lt;="&amp;'تنظیمات'!$B$6)</x:f>
        <x:v>0</x:v>
      </x:c>
      <x:c r="E58" s="20" t="n">
        <x:f>SUMIFS('حضور و غیاب'!$K$5:$K$205,'حضور و غیاب'!$B$5:$B$205,$A58,'حضور و غیاب'!$A$5:$A$205,"&gt;="&amp;'تنظیمات'!$B$5,'حضور و غیاب'!$A$5:$A$205,"&lt;="&amp;'تنظیمات'!$B$6)</x:f>
        <x:v>0</x:v>
      </x:c>
      <x:c r="F58" s="20" t="n">
        <x:f>SUMIFS('حضور و غیاب'!$G$5:$G$205,'حضور و غیاب'!$B$5:$B$205,$A58,'حضور و غیاب'!$F$5:$F$205,"Paid",'حضور و غیاب'!$A$5:$A$205,"&gt;="&amp;'تنظیمات'!$B$5,'حضور و غیاب'!$A$5:$A$205,"&lt;="&amp;'تنظیمات'!$B$6)</x:f>
        <x:v>0</x:v>
      </x:c>
      <x:c r="G58" s="20" t="n">
        <x:f>SUMIFS('حضور و غیاب'!$L$5:$L$205,'حضور و غیاب'!$B$5:$B$205,$A58,'حضور و غیاب'!$A$5:$A$205,"&gt;="&amp;'تنظیمات'!$B$5,'حضور و غیاب'!$A$5:$A$205,"&lt;="&amp;'تنظیمات'!$B$6)</x:f>
        <x:v>0</x:v>
      </x:c>
      <x:c r="H58" s="21" t="n">
        <x:f>ROUND(C58*D58,2)</x:f>
        <x:v>0</x:v>
      </x:c>
      <x:c r="I58" s="21" t="n">
        <x:f>ROUND(C58*E58*'تنظیمات'!$B$7,2)</x:f>
        <x:v>0</x:v>
      </x:c>
      <x:c r="J58" s="21" t="n">
        <x:f>ROUND(C58*F58,2)</x:f>
        <x:v>0</x:v>
      </x:c>
      <x:c r="K58" s="21" t="n">
        <x:f>ROUND((H58+I58+J58)*'تنظیمات'!$B$8,2)</x:f>
        <x:v>0</x:v>
      </x:c>
      <x:c r="L58" s="21" t="n">
        <x:f>SUM(H58:K58)</x:f>
        <x:v>0</x:v>
      </x:c>
      <x:c r="M58" s="21" t="n">
        <x:f>ROUND(MAX(0,L58-'تنظیمات'!$B$9)*'تنظیمات'!$B$10,2)</x:f>
        <x:v>0</x:v>
      </x:c>
      <x:c r="N58" s="21" t="n">
        <x:f>ROUND(MAX(0,L58*12-'تنظیمات'!$B$11)/12*'تنظیمات'!$B$12,2)</x:f>
        <x:v>0</x:v>
      </x:c>
      <x:c r="O58" s="21" t="n">
        <x:f>ROUND(L58*'تنظیمات'!$B$13,2)</x:f>
        <x:v>0</x:v>
      </x:c>
      <x:c r="P58" s="21" t="n">
        <x:f>ROUND((MIN(L58*12,'تنظیمات'!$B$17)*'تنظیمات'!$B$18+MAX(0,MIN(L58*12,'تنظیمات'!$B$19)-'تنظیمات'!$B$17)*'تنظیمات'!$B$20)/12,2)</x:f>
        <x:v>0</x:v>
      </x:c>
      <x:c r="Q58" s="21" t="n">
        <x:f>ROUND(MIN(L58*12,'تنظیمات'!$B$21)*'تنظیمات'!$B$22/12,2)</x:f>
        <x:v>0</x:v>
      </x:c>
      <x:c r="R58" s="21" t="n">
        <x:f>ROUND(MIN('تنظیمات'!$B$16,MAX(0,L58*12-'تنظیمات'!$B$14)*'تنظیمات'!$B$15)/12,2)</x:f>
        <x:v>0</x:v>
      </x:c>
      <x:c r="S58" s="21" t="n">
        <x:f>SUM(M58:R58)</x:f>
        <x:v>0</x:v>
      </x:c>
      <x:c r="T58" s="21" t="n">
        <x:f>L58-S58</x:f>
        <x:v>0</x:v>
      </x:c>
      <x:c r="U58" s="22" t="n">
        <x:f>'تنظیمات'!$B$5</x:f>
        <x:v>46266</x:v>
      </x:c>
      <x:c r="V58" s="22" t="n">
        <x:f>'تنظیمات'!$B$6</x:f>
        <x:v>46295</x:v>
      </x:c>
      <x:c r="W58" s="17" t="str">
        <x:f>IF(AND(A58&lt;&gt;"",T58&gt;=0),"OK","بررسی شود")</x:f>
        <x:v>بررسی شود</x:v>
      </x:c>
    </x:row>
    <x:row r="59">
      <x:c r="A59" s="13"/>
      <x:c r="B59" s="17" t="str">
        <x:f>IFERROR(VLOOKUP(A59,'کارمندان'!$A$5:$H$205,2,FALSE),"")</x:f>
      </x:c>
      <x:c r="C59" s="21" t="str">
        <x:f>IFERROR(VLOOKUP(A59,'کارمندان'!$A$5:$H$205,5,FALSE),0)</x:f>
      </x:c>
      <x:c r="D59" s="20" t="n">
        <x:f>SUMIFS('حضور و غیاب'!$J$5:$J$205,'حضور و غیاب'!$B$5:$B$205,$A59,'حضور و غیاب'!$A$5:$A$205,"&gt;="&amp;'تنظیمات'!$B$5,'حضور و غیاب'!$A$5:$A$205,"&lt;="&amp;'تنظیمات'!$B$6)</x:f>
        <x:v>0</x:v>
      </x:c>
      <x:c r="E59" s="20" t="n">
        <x:f>SUMIFS('حضور و غیاب'!$K$5:$K$205,'حضور و غیاب'!$B$5:$B$205,$A59,'حضور و غیاب'!$A$5:$A$205,"&gt;="&amp;'تنظیمات'!$B$5,'حضور و غیاب'!$A$5:$A$205,"&lt;="&amp;'تنظیمات'!$B$6)</x:f>
        <x:v>0</x:v>
      </x:c>
      <x:c r="F59" s="20" t="n">
        <x:f>SUMIFS('حضور و غیاب'!$G$5:$G$205,'حضور و غیاب'!$B$5:$B$205,$A59,'حضور و غیاب'!$F$5:$F$205,"Paid",'حضور و غیاب'!$A$5:$A$205,"&gt;="&amp;'تنظیمات'!$B$5,'حضور و غیاب'!$A$5:$A$205,"&lt;="&amp;'تنظیمات'!$B$6)</x:f>
        <x:v>0</x:v>
      </x:c>
      <x:c r="G59" s="20" t="n">
        <x:f>SUMIFS('حضور و غیاب'!$L$5:$L$205,'حضور و غیاب'!$B$5:$B$205,$A59,'حضور و غیاب'!$A$5:$A$205,"&gt;="&amp;'تنظیمات'!$B$5,'حضور و غیاب'!$A$5:$A$205,"&lt;="&amp;'تنظیمات'!$B$6)</x:f>
        <x:v>0</x:v>
      </x:c>
      <x:c r="H59" s="21" t="n">
        <x:f>ROUND(C59*D59,2)</x:f>
        <x:v>0</x:v>
      </x:c>
      <x:c r="I59" s="21" t="n">
        <x:f>ROUND(C59*E59*'تنظیمات'!$B$7,2)</x:f>
        <x:v>0</x:v>
      </x:c>
      <x:c r="J59" s="21" t="n">
        <x:f>ROUND(C59*F59,2)</x:f>
        <x:v>0</x:v>
      </x:c>
      <x:c r="K59" s="21" t="n">
        <x:f>ROUND((H59+I59+J59)*'تنظیمات'!$B$8,2)</x:f>
        <x:v>0</x:v>
      </x:c>
      <x:c r="L59" s="21" t="n">
        <x:f>SUM(H59:K59)</x:f>
        <x:v>0</x:v>
      </x:c>
      <x:c r="M59" s="21" t="n">
        <x:f>ROUND(MAX(0,L59-'تنظیمات'!$B$9)*'تنظیمات'!$B$10,2)</x:f>
        <x:v>0</x:v>
      </x:c>
      <x:c r="N59" s="21" t="n">
        <x:f>ROUND(MAX(0,L59*12-'تنظیمات'!$B$11)/12*'تنظیمات'!$B$12,2)</x:f>
        <x:v>0</x:v>
      </x:c>
      <x:c r="O59" s="21" t="n">
        <x:f>ROUND(L59*'تنظیمات'!$B$13,2)</x:f>
        <x:v>0</x:v>
      </x:c>
      <x:c r="P59" s="21" t="n">
        <x:f>ROUND((MIN(L59*12,'تنظیمات'!$B$17)*'تنظیمات'!$B$18+MAX(0,MIN(L59*12,'تنظیمات'!$B$19)-'تنظیمات'!$B$17)*'تنظیمات'!$B$20)/12,2)</x:f>
        <x:v>0</x:v>
      </x:c>
      <x:c r="Q59" s="21" t="n">
        <x:f>ROUND(MIN(L59*12,'تنظیمات'!$B$21)*'تنظیمات'!$B$22/12,2)</x:f>
        <x:v>0</x:v>
      </x:c>
      <x:c r="R59" s="21" t="n">
        <x:f>ROUND(MIN('تنظیمات'!$B$16,MAX(0,L59*12-'تنظیمات'!$B$14)*'تنظیمات'!$B$15)/12,2)</x:f>
        <x:v>0</x:v>
      </x:c>
      <x:c r="S59" s="21" t="n">
        <x:f>SUM(M59:R59)</x:f>
        <x:v>0</x:v>
      </x:c>
      <x:c r="T59" s="21" t="n">
        <x:f>L59-S59</x:f>
        <x:v>0</x:v>
      </x:c>
      <x:c r="U59" s="22" t="n">
        <x:f>'تنظیمات'!$B$5</x:f>
        <x:v>46266</x:v>
      </x:c>
      <x:c r="V59" s="22" t="n">
        <x:f>'تنظیمات'!$B$6</x:f>
        <x:v>46295</x:v>
      </x:c>
      <x:c r="W59" s="17" t="str">
        <x:f>IF(AND(A59&lt;&gt;"",T59&gt;=0),"OK","بررسی شود")</x:f>
        <x:v>بررسی شود</x:v>
      </x:c>
    </x:row>
    <x:row r="60">
      <x:c r="A60" s="13"/>
      <x:c r="B60" s="17" t="str">
        <x:f>IFERROR(VLOOKUP(A60,'کارمندان'!$A$5:$H$205,2,FALSE),"")</x:f>
      </x:c>
      <x:c r="C60" s="21" t="str">
        <x:f>IFERROR(VLOOKUP(A60,'کارمندان'!$A$5:$H$205,5,FALSE),0)</x:f>
      </x:c>
      <x:c r="D60" s="20" t="n">
        <x:f>SUMIFS('حضور و غیاب'!$J$5:$J$205,'حضور و غیاب'!$B$5:$B$205,$A60,'حضور و غیاب'!$A$5:$A$205,"&gt;="&amp;'تنظیمات'!$B$5,'حضور و غیاب'!$A$5:$A$205,"&lt;="&amp;'تنظیمات'!$B$6)</x:f>
        <x:v>0</x:v>
      </x:c>
      <x:c r="E60" s="20" t="n">
        <x:f>SUMIFS('حضور و غیاب'!$K$5:$K$205,'حضور و غیاب'!$B$5:$B$205,$A60,'حضور و غیاب'!$A$5:$A$205,"&gt;="&amp;'تنظیمات'!$B$5,'حضور و غیاب'!$A$5:$A$205,"&lt;="&amp;'تنظیمات'!$B$6)</x:f>
        <x:v>0</x:v>
      </x:c>
      <x:c r="F60" s="20" t="n">
        <x:f>SUMIFS('حضور و غیاب'!$G$5:$G$205,'حضور و غیاب'!$B$5:$B$205,$A60,'حضور و غیاب'!$F$5:$F$205,"Paid",'حضور و غیاب'!$A$5:$A$205,"&gt;="&amp;'تنظیمات'!$B$5,'حضور و غیاب'!$A$5:$A$205,"&lt;="&amp;'تنظیمات'!$B$6)</x:f>
        <x:v>0</x:v>
      </x:c>
      <x:c r="G60" s="20" t="n">
        <x:f>SUMIFS('حضور و غیاب'!$L$5:$L$205,'حضور و غیاب'!$B$5:$B$205,$A60,'حضور و غیاب'!$A$5:$A$205,"&gt;="&amp;'تنظیمات'!$B$5,'حضور و غیاب'!$A$5:$A$205,"&lt;="&amp;'تنظیمات'!$B$6)</x:f>
        <x:v>0</x:v>
      </x:c>
      <x:c r="H60" s="21" t="n">
        <x:f>ROUND(C60*D60,2)</x:f>
        <x:v>0</x:v>
      </x:c>
      <x:c r="I60" s="21" t="n">
        <x:f>ROUND(C60*E60*'تنظیمات'!$B$7,2)</x:f>
        <x:v>0</x:v>
      </x:c>
      <x:c r="J60" s="21" t="n">
        <x:f>ROUND(C60*F60,2)</x:f>
        <x:v>0</x:v>
      </x:c>
      <x:c r="K60" s="21" t="n">
        <x:f>ROUND((H60+I60+J60)*'تنظیمات'!$B$8,2)</x:f>
        <x:v>0</x:v>
      </x:c>
      <x:c r="L60" s="21" t="n">
        <x:f>SUM(H60:K60)</x:f>
        <x:v>0</x:v>
      </x:c>
      <x:c r="M60" s="21" t="n">
        <x:f>ROUND(MAX(0,L60-'تنظیمات'!$B$9)*'تنظیمات'!$B$10,2)</x:f>
        <x:v>0</x:v>
      </x:c>
      <x:c r="N60" s="21" t="n">
        <x:f>ROUND(MAX(0,L60*12-'تنظیمات'!$B$11)/12*'تنظیمات'!$B$12,2)</x:f>
        <x:v>0</x:v>
      </x:c>
      <x:c r="O60" s="21" t="n">
        <x:f>ROUND(L60*'تنظیمات'!$B$13,2)</x:f>
        <x:v>0</x:v>
      </x:c>
      <x:c r="P60" s="21" t="n">
        <x:f>ROUND((MIN(L60*12,'تنظیمات'!$B$17)*'تنظیمات'!$B$18+MAX(0,MIN(L60*12,'تنظیمات'!$B$19)-'تنظیمات'!$B$17)*'تنظیمات'!$B$20)/12,2)</x:f>
        <x:v>0</x:v>
      </x:c>
      <x:c r="Q60" s="21" t="n">
        <x:f>ROUND(MIN(L60*12,'تنظیمات'!$B$21)*'تنظیمات'!$B$22/12,2)</x:f>
        <x:v>0</x:v>
      </x:c>
      <x:c r="R60" s="21" t="n">
        <x:f>ROUND(MIN('تنظیمات'!$B$16,MAX(0,L60*12-'تنظیمات'!$B$14)*'تنظیمات'!$B$15)/12,2)</x:f>
        <x:v>0</x:v>
      </x:c>
      <x:c r="S60" s="21" t="n">
        <x:f>SUM(M60:R60)</x:f>
        <x:v>0</x:v>
      </x:c>
      <x:c r="T60" s="21" t="n">
        <x:f>L60-S60</x:f>
        <x:v>0</x:v>
      </x:c>
      <x:c r="U60" s="22" t="n">
        <x:f>'تنظیمات'!$B$5</x:f>
        <x:v>46266</x:v>
      </x:c>
      <x:c r="V60" s="22" t="n">
        <x:f>'تنظیمات'!$B$6</x:f>
        <x:v>46295</x:v>
      </x:c>
      <x:c r="W60" s="17" t="str">
        <x:f>IF(AND(A60&lt;&gt;"",T60&gt;=0),"OK","بررسی شود")</x:f>
        <x:v>بررسی شود</x:v>
      </x:c>
    </x:row>
    <x:row r="61">
      <x:c r="A61" s="13"/>
      <x:c r="B61" s="17" t="str">
        <x:f>IFERROR(VLOOKUP(A61,'کارمندان'!$A$5:$H$205,2,FALSE),"")</x:f>
      </x:c>
      <x:c r="C61" s="21" t="str">
        <x:f>IFERROR(VLOOKUP(A61,'کارمندان'!$A$5:$H$205,5,FALSE),0)</x:f>
      </x:c>
      <x:c r="D61" s="20" t="n">
        <x:f>SUMIFS('حضور و غیاب'!$J$5:$J$205,'حضور و غیاب'!$B$5:$B$205,$A61,'حضور و غیاب'!$A$5:$A$205,"&gt;="&amp;'تنظیمات'!$B$5,'حضور و غیاب'!$A$5:$A$205,"&lt;="&amp;'تنظیمات'!$B$6)</x:f>
        <x:v>0</x:v>
      </x:c>
      <x:c r="E61" s="20" t="n">
        <x:f>SUMIFS('حضور و غیاب'!$K$5:$K$205,'حضور و غیاب'!$B$5:$B$205,$A61,'حضور و غیاب'!$A$5:$A$205,"&gt;="&amp;'تنظیمات'!$B$5,'حضور و غیاب'!$A$5:$A$205,"&lt;="&amp;'تنظیمات'!$B$6)</x:f>
        <x:v>0</x:v>
      </x:c>
      <x:c r="F61" s="20" t="n">
        <x:f>SUMIFS('حضور و غیاب'!$G$5:$G$205,'حضور و غیاب'!$B$5:$B$205,$A61,'حضور و غیاب'!$F$5:$F$205,"Paid",'حضور و غیاب'!$A$5:$A$205,"&gt;="&amp;'تنظیمات'!$B$5,'حضور و غیاب'!$A$5:$A$205,"&lt;="&amp;'تنظیمات'!$B$6)</x:f>
        <x:v>0</x:v>
      </x:c>
      <x:c r="G61" s="20" t="n">
        <x:f>SUMIFS('حضور و غیاب'!$L$5:$L$205,'حضور و غیاب'!$B$5:$B$205,$A61,'حضور و غیاب'!$A$5:$A$205,"&gt;="&amp;'تنظیمات'!$B$5,'حضور و غیاب'!$A$5:$A$205,"&lt;="&amp;'تنظیمات'!$B$6)</x:f>
        <x:v>0</x:v>
      </x:c>
      <x:c r="H61" s="21" t="n">
        <x:f>ROUND(C61*D61,2)</x:f>
        <x:v>0</x:v>
      </x:c>
      <x:c r="I61" s="21" t="n">
        <x:f>ROUND(C61*E61*'تنظیمات'!$B$7,2)</x:f>
        <x:v>0</x:v>
      </x:c>
      <x:c r="J61" s="21" t="n">
        <x:f>ROUND(C61*F61,2)</x:f>
        <x:v>0</x:v>
      </x:c>
      <x:c r="K61" s="21" t="n">
        <x:f>ROUND((H61+I61+J61)*'تنظیمات'!$B$8,2)</x:f>
        <x:v>0</x:v>
      </x:c>
      <x:c r="L61" s="21" t="n">
        <x:f>SUM(H61:K61)</x:f>
        <x:v>0</x:v>
      </x:c>
      <x:c r="M61" s="21" t="n">
        <x:f>ROUND(MAX(0,L61-'تنظیمات'!$B$9)*'تنظیمات'!$B$10,2)</x:f>
        <x:v>0</x:v>
      </x:c>
      <x:c r="N61" s="21" t="n">
        <x:f>ROUND(MAX(0,L61*12-'تنظیمات'!$B$11)/12*'تنظیمات'!$B$12,2)</x:f>
        <x:v>0</x:v>
      </x:c>
      <x:c r="O61" s="21" t="n">
        <x:f>ROUND(L61*'تنظیمات'!$B$13,2)</x:f>
        <x:v>0</x:v>
      </x:c>
      <x:c r="P61" s="21" t="n">
        <x:f>ROUND((MIN(L61*12,'تنظیمات'!$B$17)*'تنظیمات'!$B$18+MAX(0,MIN(L61*12,'تنظیمات'!$B$19)-'تنظیمات'!$B$17)*'تنظیمات'!$B$20)/12,2)</x:f>
        <x:v>0</x:v>
      </x:c>
      <x:c r="Q61" s="21" t="n">
        <x:f>ROUND(MIN(L61*12,'تنظیمات'!$B$21)*'تنظیمات'!$B$22/12,2)</x:f>
        <x:v>0</x:v>
      </x:c>
      <x:c r="R61" s="21" t="n">
        <x:f>ROUND(MIN('تنظیمات'!$B$16,MAX(0,L61*12-'تنظیمات'!$B$14)*'تنظیمات'!$B$15)/12,2)</x:f>
        <x:v>0</x:v>
      </x:c>
      <x:c r="S61" s="21" t="n">
        <x:f>SUM(M61:R61)</x:f>
        <x:v>0</x:v>
      </x:c>
      <x:c r="T61" s="21" t="n">
        <x:f>L61-S61</x:f>
        <x:v>0</x:v>
      </x:c>
      <x:c r="U61" s="22" t="n">
        <x:f>'تنظیمات'!$B$5</x:f>
        <x:v>46266</x:v>
      </x:c>
      <x:c r="V61" s="22" t="n">
        <x:f>'تنظیمات'!$B$6</x:f>
        <x:v>46295</x:v>
      </x:c>
      <x:c r="W61" s="17" t="str">
        <x:f>IF(AND(A61&lt;&gt;"",T61&gt;=0),"OK","بررسی شود")</x:f>
        <x:v>بررسی شود</x:v>
      </x:c>
    </x:row>
    <x:row r="62">
      <x:c r="A62" s="13"/>
      <x:c r="B62" s="17" t="str">
        <x:f>IFERROR(VLOOKUP(A62,'کارمندان'!$A$5:$H$205,2,FALSE),"")</x:f>
      </x:c>
      <x:c r="C62" s="21" t="str">
        <x:f>IFERROR(VLOOKUP(A62,'کارمندان'!$A$5:$H$205,5,FALSE),0)</x:f>
      </x:c>
      <x:c r="D62" s="20" t="n">
        <x:f>SUMIFS('حضور و غیاب'!$J$5:$J$205,'حضور و غیاب'!$B$5:$B$205,$A62,'حضور و غیاب'!$A$5:$A$205,"&gt;="&amp;'تنظیمات'!$B$5,'حضور و غیاب'!$A$5:$A$205,"&lt;="&amp;'تنظیمات'!$B$6)</x:f>
        <x:v>0</x:v>
      </x:c>
      <x:c r="E62" s="20" t="n">
        <x:f>SUMIFS('حضور و غیاب'!$K$5:$K$205,'حضور و غیاب'!$B$5:$B$205,$A62,'حضور و غیاب'!$A$5:$A$205,"&gt;="&amp;'تنظیمات'!$B$5,'حضور و غیاب'!$A$5:$A$205,"&lt;="&amp;'تنظیمات'!$B$6)</x:f>
        <x:v>0</x:v>
      </x:c>
      <x:c r="F62" s="20" t="n">
        <x:f>SUMIFS('حضور و غیاب'!$G$5:$G$205,'حضور و غیاب'!$B$5:$B$205,$A62,'حضور و غیاب'!$F$5:$F$205,"Paid",'حضور و غیاب'!$A$5:$A$205,"&gt;="&amp;'تنظیمات'!$B$5,'حضور و غیاب'!$A$5:$A$205,"&lt;="&amp;'تنظیمات'!$B$6)</x:f>
        <x:v>0</x:v>
      </x:c>
      <x:c r="G62" s="20" t="n">
        <x:f>SUMIFS('حضور و غیاب'!$L$5:$L$205,'حضور و غیاب'!$B$5:$B$205,$A62,'حضور و غیاب'!$A$5:$A$205,"&gt;="&amp;'تنظیمات'!$B$5,'حضور و غیاب'!$A$5:$A$205,"&lt;="&amp;'تنظیمات'!$B$6)</x:f>
        <x:v>0</x:v>
      </x:c>
      <x:c r="H62" s="21" t="n">
        <x:f>ROUND(C62*D62,2)</x:f>
        <x:v>0</x:v>
      </x:c>
      <x:c r="I62" s="21" t="n">
        <x:f>ROUND(C62*E62*'تنظیمات'!$B$7,2)</x:f>
        <x:v>0</x:v>
      </x:c>
      <x:c r="J62" s="21" t="n">
        <x:f>ROUND(C62*F62,2)</x:f>
        <x:v>0</x:v>
      </x:c>
      <x:c r="K62" s="21" t="n">
        <x:f>ROUND((H62+I62+J62)*'تنظیمات'!$B$8,2)</x:f>
        <x:v>0</x:v>
      </x:c>
      <x:c r="L62" s="21" t="n">
        <x:f>SUM(H62:K62)</x:f>
        <x:v>0</x:v>
      </x:c>
      <x:c r="M62" s="21" t="n">
        <x:f>ROUND(MAX(0,L62-'تنظیمات'!$B$9)*'تنظیمات'!$B$10,2)</x:f>
        <x:v>0</x:v>
      </x:c>
      <x:c r="N62" s="21" t="n">
        <x:f>ROUND(MAX(0,L62*12-'تنظیمات'!$B$11)/12*'تنظیمات'!$B$12,2)</x:f>
        <x:v>0</x:v>
      </x:c>
      <x:c r="O62" s="21" t="n">
        <x:f>ROUND(L62*'تنظیمات'!$B$13,2)</x:f>
        <x:v>0</x:v>
      </x:c>
      <x:c r="P62" s="21" t="n">
        <x:f>ROUND((MIN(L62*12,'تنظیمات'!$B$17)*'تنظیمات'!$B$18+MAX(0,MIN(L62*12,'تنظیمات'!$B$19)-'تنظیمات'!$B$17)*'تنظیمات'!$B$20)/12,2)</x:f>
        <x:v>0</x:v>
      </x:c>
      <x:c r="Q62" s="21" t="n">
        <x:f>ROUND(MIN(L62*12,'تنظیمات'!$B$21)*'تنظیمات'!$B$22/12,2)</x:f>
        <x:v>0</x:v>
      </x:c>
      <x:c r="R62" s="21" t="n">
        <x:f>ROUND(MIN('تنظیمات'!$B$16,MAX(0,L62*12-'تنظیمات'!$B$14)*'تنظیمات'!$B$15)/12,2)</x:f>
        <x:v>0</x:v>
      </x:c>
      <x:c r="S62" s="21" t="n">
        <x:f>SUM(M62:R62)</x:f>
        <x:v>0</x:v>
      </x:c>
      <x:c r="T62" s="21" t="n">
        <x:f>L62-S62</x:f>
        <x:v>0</x:v>
      </x:c>
      <x:c r="U62" s="22" t="n">
        <x:f>'تنظیمات'!$B$5</x:f>
        <x:v>46266</x:v>
      </x:c>
      <x:c r="V62" s="22" t="n">
        <x:f>'تنظیمات'!$B$6</x:f>
        <x:v>46295</x:v>
      </x:c>
      <x:c r="W62" s="17" t="str">
        <x:f>IF(AND(A62&lt;&gt;"",T62&gt;=0),"OK","بررسی شود")</x:f>
        <x:v>بررسی شود</x:v>
      </x:c>
    </x:row>
    <x:row r="63">
      <x:c r="A63" s="13"/>
      <x:c r="B63" s="17" t="str">
        <x:f>IFERROR(VLOOKUP(A63,'کارمندان'!$A$5:$H$205,2,FALSE),"")</x:f>
      </x:c>
      <x:c r="C63" s="21" t="str">
        <x:f>IFERROR(VLOOKUP(A63,'کارمندان'!$A$5:$H$205,5,FALSE),0)</x:f>
      </x:c>
      <x:c r="D63" s="20" t="n">
        <x:f>SUMIFS('حضور و غیاب'!$J$5:$J$205,'حضور و غیاب'!$B$5:$B$205,$A63,'حضور و غیاب'!$A$5:$A$205,"&gt;="&amp;'تنظیمات'!$B$5,'حضور و غیاب'!$A$5:$A$205,"&lt;="&amp;'تنظیمات'!$B$6)</x:f>
        <x:v>0</x:v>
      </x:c>
      <x:c r="E63" s="20" t="n">
        <x:f>SUMIFS('حضور و غیاب'!$K$5:$K$205,'حضور و غیاب'!$B$5:$B$205,$A63,'حضور و غیاب'!$A$5:$A$205,"&gt;="&amp;'تنظیمات'!$B$5,'حضور و غیاب'!$A$5:$A$205,"&lt;="&amp;'تنظیمات'!$B$6)</x:f>
        <x:v>0</x:v>
      </x:c>
      <x:c r="F63" s="20" t="n">
        <x:f>SUMIFS('حضور و غیاب'!$G$5:$G$205,'حضور و غیاب'!$B$5:$B$205,$A63,'حضور و غیاب'!$F$5:$F$205,"Paid",'حضور و غیاب'!$A$5:$A$205,"&gt;="&amp;'تنظیمات'!$B$5,'حضور و غیاب'!$A$5:$A$205,"&lt;="&amp;'تنظیمات'!$B$6)</x:f>
        <x:v>0</x:v>
      </x:c>
      <x:c r="G63" s="20" t="n">
        <x:f>SUMIFS('حضور و غیاب'!$L$5:$L$205,'حضور و غیاب'!$B$5:$B$205,$A63,'حضور و غیاب'!$A$5:$A$205,"&gt;="&amp;'تنظیمات'!$B$5,'حضور و غیاب'!$A$5:$A$205,"&lt;="&amp;'تنظیمات'!$B$6)</x:f>
        <x:v>0</x:v>
      </x:c>
      <x:c r="H63" s="21" t="n">
        <x:f>ROUND(C63*D63,2)</x:f>
        <x:v>0</x:v>
      </x:c>
      <x:c r="I63" s="21" t="n">
        <x:f>ROUND(C63*E63*'تنظیمات'!$B$7,2)</x:f>
        <x:v>0</x:v>
      </x:c>
      <x:c r="J63" s="21" t="n">
        <x:f>ROUND(C63*F63,2)</x:f>
        <x:v>0</x:v>
      </x:c>
      <x:c r="K63" s="21" t="n">
        <x:f>ROUND((H63+I63+J63)*'تنظیمات'!$B$8,2)</x:f>
        <x:v>0</x:v>
      </x:c>
      <x:c r="L63" s="21" t="n">
        <x:f>SUM(H63:K63)</x:f>
        <x:v>0</x:v>
      </x:c>
      <x:c r="M63" s="21" t="n">
        <x:f>ROUND(MAX(0,L63-'تنظیمات'!$B$9)*'تنظیمات'!$B$10,2)</x:f>
        <x:v>0</x:v>
      </x:c>
      <x:c r="N63" s="21" t="n">
        <x:f>ROUND(MAX(0,L63*12-'تنظیمات'!$B$11)/12*'تنظیمات'!$B$12,2)</x:f>
        <x:v>0</x:v>
      </x:c>
      <x:c r="O63" s="21" t="n">
        <x:f>ROUND(L63*'تنظیمات'!$B$13,2)</x:f>
        <x:v>0</x:v>
      </x:c>
      <x:c r="P63" s="21" t="n">
        <x:f>ROUND((MIN(L63*12,'تنظیمات'!$B$17)*'تنظیمات'!$B$18+MAX(0,MIN(L63*12,'تنظیمات'!$B$19)-'تنظیمات'!$B$17)*'تنظیمات'!$B$20)/12,2)</x:f>
        <x:v>0</x:v>
      </x:c>
      <x:c r="Q63" s="21" t="n">
        <x:f>ROUND(MIN(L63*12,'تنظیمات'!$B$21)*'تنظیمات'!$B$22/12,2)</x:f>
        <x:v>0</x:v>
      </x:c>
      <x:c r="R63" s="21" t="n">
        <x:f>ROUND(MIN('تنظیمات'!$B$16,MAX(0,L63*12-'تنظیمات'!$B$14)*'تنظیمات'!$B$15)/12,2)</x:f>
        <x:v>0</x:v>
      </x:c>
      <x:c r="S63" s="21" t="n">
        <x:f>SUM(M63:R63)</x:f>
        <x:v>0</x:v>
      </x:c>
      <x:c r="T63" s="21" t="n">
        <x:f>L63-S63</x:f>
        <x:v>0</x:v>
      </x:c>
      <x:c r="U63" s="22" t="n">
        <x:f>'تنظیمات'!$B$5</x:f>
        <x:v>46266</x:v>
      </x:c>
      <x:c r="V63" s="22" t="n">
        <x:f>'تنظیمات'!$B$6</x:f>
        <x:v>46295</x:v>
      </x:c>
      <x:c r="W63" s="17" t="str">
        <x:f>IF(AND(A63&lt;&gt;"",T63&gt;=0),"OK","بررسی شود")</x:f>
        <x:v>بررسی شود</x:v>
      </x:c>
    </x:row>
    <x:row r="64">
      <x:c r="A64" s="13"/>
      <x:c r="B64" s="17" t="str">
        <x:f>IFERROR(VLOOKUP(A64,'کارمندان'!$A$5:$H$205,2,FALSE),"")</x:f>
      </x:c>
      <x:c r="C64" s="21" t="str">
        <x:f>IFERROR(VLOOKUP(A64,'کارمندان'!$A$5:$H$205,5,FALSE),0)</x:f>
      </x:c>
      <x:c r="D64" s="20" t="n">
        <x:f>SUMIFS('حضور و غیاب'!$J$5:$J$205,'حضور و غیاب'!$B$5:$B$205,$A64,'حضور و غیاب'!$A$5:$A$205,"&gt;="&amp;'تنظیمات'!$B$5,'حضور و غیاب'!$A$5:$A$205,"&lt;="&amp;'تنظیمات'!$B$6)</x:f>
        <x:v>0</x:v>
      </x:c>
      <x:c r="E64" s="20" t="n">
        <x:f>SUMIFS('حضور و غیاب'!$K$5:$K$205,'حضور و غیاب'!$B$5:$B$205,$A64,'حضور و غیاب'!$A$5:$A$205,"&gt;="&amp;'تنظیمات'!$B$5,'حضور و غیاب'!$A$5:$A$205,"&lt;="&amp;'تنظیمات'!$B$6)</x:f>
        <x:v>0</x:v>
      </x:c>
      <x:c r="F64" s="20" t="n">
        <x:f>SUMIFS('حضور و غیاب'!$G$5:$G$205,'حضور و غیاب'!$B$5:$B$205,$A64,'حضور و غیاب'!$F$5:$F$205,"Paid",'حضور و غیاب'!$A$5:$A$205,"&gt;="&amp;'تنظیمات'!$B$5,'حضور و غیاب'!$A$5:$A$205,"&lt;="&amp;'تنظیمات'!$B$6)</x:f>
        <x:v>0</x:v>
      </x:c>
      <x:c r="G64" s="20" t="n">
        <x:f>SUMIFS('حضور و غیاب'!$L$5:$L$205,'حضور و غیاب'!$B$5:$B$205,$A64,'حضور و غیاب'!$A$5:$A$205,"&gt;="&amp;'تنظیمات'!$B$5,'حضور و غیاب'!$A$5:$A$205,"&lt;="&amp;'تنظیمات'!$B$6)</x:f>
        <x:v>0</x:v>
      </x:c>
      <x:c r="H64" s="21" t="n">
        <x:f>ROUND(C64*D64,2)</x:f>
        <x:v>0</x:v>
      </x:c>
      <x:c r="I64" s="21" t="n">
        <x:f>ROUND(C64*E64*'تنظیمات'!$B$7,2)</x:f>
        <x:v>0</x:v>
      </x:c>
      <x:c r="J64" s="21" t="n">
        <x:f>ROUND(C64*F64,2)</x:f>
        <x:v>0</x:v>
      </x:c>
      <x:c r="K64" s="21" t="n">
        <x:f>ROUND((H64+I64+J64)*'تنظیمات'!$B$8,2)</x:f>
        <x:v>0</x:v>
      </x:c>
      <x:c r="L64" s="21" t="n">
        <x:f>SUM(H64:K64)</x:f>
        <x:v>0</x:v>
      </x:c>
      <x:c r="M64" s="21" t="n">
        <x:f>ROUND(MAX(0,L64-'تنظیمات'!$B$9)*'تنظیمات'!$B$10,2)</x:f>
        <x:v>0</x:v>
      </x:c>
      <x:c r="N64" s="21" t="n">
        <x:f>ROUND(MAX(0,L64*12-'تنظیمات'!$B$11)/12*'تنظیمات'!$B$12,2)</x:f>
        <x:v>0</x:v>
      </x:c>
      <x:c r="O64" s="21" t="n">
        <x:f>ROUND(L64*'تنظیمات'!$B$13,2)</x:f>
        <x:v>0</x:v>
      </x:c>
      <x:c r="P64" s="21" t="n">
        <x:f>ROUND((MIN(L64*12,'تنظیمات'!$B$17)*'تنظیمات'!$B$18+MAX(0,MIN(L64*12,'تنظیمات'!$B$19)-'تنظیمات'!$B$17)*'تنظیمات'!$B$20)/12,2)</x:f>
        <x:v>0</x:v>
      </x:c>
      <x:c r="Q64" s="21" t="n">
        <x:f>ROUND(MIN(L64*12,'تنظیمات'!$B$21)*'تنظیمات'!$B$22/12,2)</x:f>
        <x:v>0</x:v>
      </x:c>
      <x:c r="R64" s="21" t="n">
        <x:f>ROUND(MIN('تنظیمات'!$B$16,MAX(0,L64*12-'تنظیمات'!$B$14)*'تنظیمات'!$B$15)/12,2)</x:f>
        <x:v>0</x:v>
      </x:c>
      <x:c r="S64" s="21" t="n">
        <x:f>SUM(M64:R64)</x:f>
        <x:v>0</x:v>
      </x:c>
      <x:c r="T64" s="21" t="n">
        <x:f>L64-S64</x:f>
        <x:v>0</x:v>
      </x:c>
      <x:c r="U64" s="22" t="n">
        <x:f>'تنظیمات'!$B$5</x:f>
        <x:v>46266</x:v>
      </x:c>
      <x:c r="V64" s="22" t="n">
        <x:f>'تنظیمات'!$B$6</x:f>
        <x:v>46295</x:v>
      </x:c>
      <x:c r="W64" s="17" t="str">
        <x:f>IF(AND(A64&lt;&gt;"",T64&gt;=0),"OK","بررسی شود")</x:f>
        <x:v>بررسی شود</x:v>
      </x:c>
    </x:row>
    <x:row r="65">
      <x:c r="A65" s="13"/>
      <x:c r="B65" s="17" t="str">
        <x:f>IFERROR(VLOOKUP(A65,'کارمندان'!$A$5:$H$205,2,FALSE),"")</x:f>
      </x:c>
      <x:c r="C65" s="21" t="str">
        <x:f>IFERROR(VLOOKUP(A65,'کارمندان'!$A$5:$H$205,5,FALSE),0)</x:f>
      </x:c>
      <x:c r="D65" s="20" t="n">
        <x:f>SUMIFS('حضور و غیاب'!$J$5:$J$205,'حضور و غیاب'!$B$5:$B$205,$A65,'حضور و غیاب'!$A$5:$A$205,"&gt;="&amp;'تنظیمات'!$B$5,'حضور و غیاب'!$A$5:$A$205,"&lt;="&amp;'تنظیمات'!$B$6)</x:f>
        <x:v>0</x:v>
      </x:c>
      <x:c r="E65" s="20" t="n">
        <x:f>SUMIFS('حضور و غیاب'!$K$5:$K$205,'حضور و غیاب'!$B$5:$B$205,$A65,'حضور و غیاب'!$A$5:$A$205,"&gt;="&amp;'تنظیمات'!$B$5,'حضور و غیاب'!$A$5:$A$205,"&lt;="&amp;'تنظیمات'!$B$6)</x:f>
        <x:v>0</x:v>
      </x:c>
      <x:c r="F65" s="20" t="n">
        <x:f>SUMIFS('حضور و غیاب'!$G$5:$G$205,'حضور و غیاب'!$B$5:$B$205,$A65,'حضور و غیاب'!$F$5:$F$205,"Paid",'حضور و غیاب'!$A$5:$A$205,"&gt;="&amp;'تنظیمات'!$B$5,'حضور و غیاب'!$A$5:$A$205,"&lt;="&amp;'تنظیمات'!$B$6)</x:f>
        <x:v>0</x:v>
      </x:c>
      <x:c r="G65" s="20" t="n">
        <x:f>SUMIFS('حضور و غیاب'!$L$5:$L$205,'حضور و غیاب'!$B$5:$B$205,$A65,'حضور و غیاب'!$A$5:$A$205,"&gt;="&amp;'تنظیمات'!$B$5,'حضور و غیاب'!$A$5:$A$205,"&lt;="&amp;'تنظیمات'!$B$6)</x:f>
        <x:v>0</x:v>
      </x:c>
      <x:c r="H65" s="21" t="n">
        <x:f>ROUND(C65*D65,2)</x:f>
        <x:v>0</x:v>
      </x:c>
      <x:c r="I65" s="21" t="n">
        <x:f>ROUND(C65*E65*'تنظیمات'!$B$7,2)</x:f>
        <x:v>0</x:v>
      </x:c>
      <x:c r="J65" s="21" t="n">
        <x:f>ROUND(C65*F65,2)</x:f>
        <x:v>0</x:v>
      </x:c>
      <x:c r="K65" s="21" t="n">
        <x:f>ROUND((H65+I65+J65)*'تنظیمات'!$B$8,2)</x:f>
        <x:v>0</x:v>
      </x:c>
      <x:c r="L65" s="21" t="n">
        <x:f>SUM(H65:K65)</x:f>
        <x:v>0</x:v>
      </x:c>
      <x:c r="M65" s="21" t="n">
        <x:f>ROUND(MAX(0,L65-'تنظیمات'!$B$9)*'تنظیمات'!$B$10,2)</x:f>
        <x:v>0</x:v>
      </x:c>
      <x:c r="N65" s="21" t="n">
        <x:f>ROUND(MAX(0,L65*12-'تنظیمات'!$B$11)/12*'تنظیمات'!$B$12,2)</x:f>
        <x:v>0</x:v>
      </x:c>
      <x:c r="O65" s="21" t="n">
        <x:f>ROUND(L65*'تنظیمات'!$B$13,2)</x:f>
        <x:v>0</x:v>
      </x:c>
      <x:c r="P65" s="21" t="n">
        <x:f>ROUND((MIN(L65*12,'تنظیمات'!$B$17)*'تنظیمات'!$B$18+MAX(0,MIN(L65*12,'تنظیمات'!$B$19)-'تنظیمات'!$B$17)*'تنظیمات'!$B$20)/12,2)</x:f>
        <x:v>0</x:v>
      </x:c>
      <x:c r="Q65" s="21" t="n">
        <x:f>ROUND(MIN(L65*12,'تنظیمات'!$B$21)*'تنظیمات'!$B$22/12,2)</x:f>
        <x:v>0</x:v>
      </x:c>
      <x:c r="R65" s="21" t="n">
        <x:f>ROUND(MIN('تنظیمات'!$B$16,MAX(0,L65*12-'تنظیمات'!$B$14)*'تنظیمات'!$B$15)/12,2)</x:f>
        <x:v>0</x:v>
      </x:c>
      <x:c r="S65" s="21" t="n">
        <x:f>SUM(M65:R65)</x:f>
        <x:v>0</x:v>
      </x:c>
      <x:c r="T65" s="21" t="n">
        <x:f>L65-S65</x:f>
        <x:v>0</x:v>
      </x:c>
      <x:c r="U65" s="22" t="n">
        <x:f>'تنظیمات'!$B$5</x:f>
        <x:v>46266</x:v>
      </x:c>
      <x:c r="V65" s="22" t="n">
        <x:f>'تنظیمات'!$B$6</x:f>
        <x:v>46295</x:v>
      </x:c>
      <x:c r="W65" s="17" t="str">
        <x:f>IF(AND(A65&lt;&gt;"",T65&gt;=0),"OK","بررسی شود")</x:f>
        <x:v>بررسی شود</x:v>
      </x:c>
    </x:row>
    <x:row r="66">
      <x:c r="A66" s="13"/>
      <x:c r="B66" s="17" t="str">
        <x:f>IFERROR(VLOOKUP(A66,'کارمندان'!$A$5:$H$205,2,FALSE),"")</x:f>
      </x:c>
      <x:c r="C66" s="21" t="str">
        <x:f>IFERROR(VLOOKUP(A66,'کارمندان'!$A$5:$H$205,5,FALSE),0)</x:f>
      </x:c>
      <x:c r="D66" s="20" t="n">
        <x:f>SUMIFS('حضور و غیاب'!$J$5:$J$205,'حضور و غیاب'!$B$5:$B$205,$A66,'حضور و غیاب'!$A$5:$A$205,"&gt;="&amp;'تنظیمات'!$B$5,'حضور و غیاب'!$A$5:$A$205,"&lt;="&amp;'تنظیمات'!$B$6)</x:f>
        <x:v>0</x:v>
      </x:c>
      <x:c r="E66" s="20" t="n">
        <x:f>SUMIFS('حضور و غیاب'!$K$5:$K$205,'حضور و غیاب'!$B$5:$B$205,$A66,'حضور و غیاب'!$A$5:$A$205,"&gt;="&amp;'تنظیمات'!$B$5,'حضور و غیاب'!$A$5:$A$205,"&lt;="&amp;'تنظیمات'!$B$6)</x:f>
        <x:v>0</x:v>
      </x:c>
      <x:c r="F66" s="20" t="n">
        <x:f>SUMIFS('حضور و غیاب'!$G$5:$G$205,'حضور و غیاب'!$B$5:$B$205,$A66,'حضور و غیاب'!$F$5:$F$205,"Paid",'حضور و غیاب'!$A$5:$A$205,"&gt;="&amp;'تنظیمات'!$B$5,'حضور و غیاب'!$A$5:$A$205,"&lt;="&amp;'تنظیمات'!$B$6)</x:f>
        <x:v>0</x:v>
      </x:c>
      <x:c r="G66" s="20" t="n">
        <x:f>SUMIFS('حضور و غیاب'!$L$5:$L$205,'حضور و غیاب'!$B$5:$B$205,$A66,'حضور و غیاب'!$A$5:$A$205,"&gt;="&amp;'تنظیمات'!$B$5,'حضور و غیاب'!$A$5:$A$205,"&lt;="&amp;'تنظیمات'!$B$6)</x:f>
        <x:v>0</x:v>
      </x:c>
      <x:c r="H66" s="21" t="n">
        <x:f>ROUND(C66*D66,2)</x:f>
        <x:v>0</x:v>
      </x:c>
      <x:c r="I66" s="21" t="n">
        <x:f>ROUND(C66*E66*'تنظیمات'!$B$7,2)</x:f>
        <x:v>0</x:v>
      </x:c>
      <x:c r="J66" s="21" t="n">
        <x:f>ROUND(C66*F66,2)</x:f>
        <x:v>0</x:v>
      </x:c>
      <x:c r="K66" s="21" t="n">
        <x:f>ROUND((H66+I66+J66)*'تنظیمات'!$B$8,2)</x:f>
        <x:v>0</x:v>
      </x:c>
      <x:c r="L66" s="21" t="n">
        <x:f>SUM(H66:K66)</x:f>
        <x:v>0</x:v>
      </x:c>
      <x:c r="M66" s="21" t="n">
        <x:f>ROUND(MAX(0,L66-'تنظیمات'!$B$9)*'تنظیمات'!$B$10,2)</x:f>
        <x:v>0</x:v>
      </x:c>
      <x:c r="N66" s="21" t="n">
        <x:f>ROUND(MAX(0,L66*12-'تنظیمات'!$B$11)/12*'تنظیمات'!$B$12,2)</x:f>
        <x:v>0</x:v>
      </x:c>
      <x:c r="O66" s="21" t="n">
        <x:f>ROUND(L66*'تنظیمات'!$B$13,2)</x:f>
        <x:v>0</x:v>
      </x:c>
      <x:c r="P66" s="21" t="n">
        <x:f>ROUND((MIN(L66*12,'تنظیمات'!$B$17)*'تنظیمات'!$B$18+MAX(0,MIN(L66*12,'تنظیمات'!$B$19)-'تنظیمات'!$B$17)*'تنظیمات'!$B$20)/12,2)</x:f>
        <x:v>0</x:v>
      </x:c>
      <x:c r="Q66" s="21" t="n">
        <x:f>ROUND(MIN(L66*12,'تنظیمات'!$B$21)*'تنظیمات'!$B$22/12,2)</x:f>
        <x:v>0</x:v>
      </x:c>
      <x:c r="R66" s="21" t="n">
        <x:f>ROUND(MIN('تنظیمات'!$B$16,MAX(0,L66*12-'تنظیمات'!$B$14)*'تنظیمات'!$B$15)/12,2)</x:f>
        <x:v>0</x:v>
      </x:c>
      <x:c r="S66" s="21" t="n">
        <x:f>SUM(M66:R66)</x:f>
        <x:v>0</x:v>
      </x:c>
      <x:c r="T66" s="21" t="n">
        <x:f>L66-S66</x:f>
        <x:v>0</x:v>
      </x:c>
      <x:c r="U66" s="22" t="n">
        <x:f>'تنظیمات'!$B$5</x:f>
        <x:v>46266</x:v>
      </x:c>
      <x:c r="V66" s="22" t="n">
        <x:f>'تنظیمات'!$B$6</x:f>
        <x:v>46295</x:v>
      </x:c>
      <x:c r="W66" s="17" t="str">
        <x:f>IF(AND(A66&lt;&gt;"",T66&gt;=0),"OK","بررسی شود")</x:f>
        <x:v>بررسی شود</x:v>
      </x:c>
    </x:row>
    <x:row r="67">
      <x:c r="A67" s="13"/>
      <x:c r="B67" s="17" t="str">
        <x:f>IFERROR(VLOOKUP(A67,'کارمندان'!$A$5:$H$205,2,FALSE),"")</x:f>
      </x:c>
      <x:c r="C67" s="21" t="str">
        <x:f>IFERROR(VLOOKUP(A67,'کارمندان'!$A$5:$H$205,5,FALSE),0)</x:f>
      </x:c>
      <x:c r="D67" s="20" t="n">
        <x:f>SUMIFS('حضور و غیاب'!$J$5:$J$205,'حضور و غیاب'!$B$5:$B$205,$A67,'حضور و غیاب'!$A$5:$A$205,"&gt;="&amp;'تنظیمات'!$B$5,'حضور و غیاب'!$A$5:$A$205,"&lt;="&amp;'تنظیمات'!$B$6)</x:f>
        <x:v>0</x:v>
      </x:c>
      <x:c r="E67" s="20" t="n">
        <x:f>SUMIFS('حضور و غیاب'!$K$5:$K$205,'حضور و غیاب'!$B$5:$B$205,$A67,'حضور و غیاب'!$A$5:$A$205,"&gt;="&amp;'تنظیمات'!$B$5,'حضور و غیاب'!$A$5:$A$205,"&lt;="&amp;'تنظیمات'!$B$6)</x:f>
        <x:v>0</x:v>
      </x:c>
      <x:c r="F67" s="20" t="n">
        <x:f>SUMIFS('حضور و غیاب'!$G$5:$G$205,'حضور و غیاب'!$B$5:$B$205,$A67,'حضور و غیاب'!$F$5:$F$205,"Paid",'حضور و غیاب'!$A$5:$A$205,"&gt;="&amp;'تنظیمات'!$B$5,'حضور و غیاب'!$A$5:$A$205,"&lt;="&amp;'تنظیمات'!$B$6)</x:f>
        <x:v>0</x:v>
      </x:c>
      <x:c r="G67" s="20" t="n">
        <x:f>SUMIFS('حضور و غیاب'!$L$5:$L$205,'حضور و غیاب'!$B$5:$B$205,$A67,'حضور و غیاب'!$A$5:$A$205,"&gt;="&amp;'تنظیمات'!$B$5,'حضور و غیاب'!$A$5:$A$205,"&lt;="&amp;'تنظیمات'!$B$6)</x:f>
        <x:v>0</x:v>
      </x:c>
      <x:c r="H67" s="21" t="n">
        <x:f>ROUND(C67*D67,2)</x:f>
        <x:v>0</x:v>
      </x:c>
      <x:c r="I67" s="21" t="n">
        <x:f>ROUND(C67*E67*'تنظیمات'!$B$7,2)</x:f>
        <x:v>0</x:v>
      </x:c>
      <x:c r="J67" s="21" t="n">
        <x:f>ROUND(C67*F67,2)</x:f>
        <x:v>0</x:v>
      </x:c>
      <x:c r="K67" s="21" t="n">
        <x:f>ROUND((H67+I67+J67)*'تنظیمات'!$B$8,2)</x:f>
        <x:v>0</x:v>
      </x:c>
      <x:c r="L67" s="21" t="n">
        <x:f>SUM(H67:K67)</x:f>
        <x:v>0</x:v>
      </x:c>
      <x:c r="M67" s="21" t="n">
        <x:f>ROUND(MAX(0,L67-'تنظیمات'!$B$9)*'تنظیمات'!$B$10,2)</x:f>
        <x:v>0</x:v>
      </x:c>
      <x:c r="N67" s="21" t="n">
        <x:f>ROUND(MAX(0,L67*12-'تنظیمات'!$B$11)/12*'تنظیمات'!$B$12,2)</x:f>
        <x:v>0</x:v>
      </x:c>
      <x:c r="O67" s="21" t="n">
        <x:f>ROUND(L67*'تنظیمات'!$B$13,2)</x:f>
        <x:v>0</x:v>
      </x:c>
      <x:c r="P67" s="21" t="n">
        <x:f>ROUND((MIN(L67*12,'تنظیمات'!$B$17)*'تنظیمات'!$B$18+MAX(0,MIN(L67*12,'تنظیمات'!$B$19)-'تنظیمات'!$B$17)*'تنظیمات'!$B$20)/12,2)</x:f>
        <x:v>0</x:v>
      </x:c>
      <x:c r="Q67" s="21" t="n">
        <x:f>ROUND(MIN(L67*12,'تنظیمات'!$B$21)*'تنظیمات'!$B$22/12,2)</x:f>
        <x:v>0</x:v>
      </x:c>
      <x:c r="R67" s="21" t="n">
        <x:f>ROUND(MIN('تنظیمات'!$B$16,MAX(0,L67*12-'تنظیمات'!$B$14)*'تنظیمات'!$B$15)/12,2)</x:f>
        <x:v>0</x:v>
      </x:c>
      <x:c r="S67" s="21" t="n">
        <x:f>SUM(M67:R67)</x:f>
        <x:v>0</x:v>
      </x:c>
      <x:c r="T67" s="21" t="n">
        <x:f>L67-S67</x:f>
        <x:v>0</x:v>
      </x:c>
      <x:c r="U67" s="22" t="n">
        <x:f>'تنظیمات'!$B$5</x:f>
        <x:v>46266</x:v>
      </x:c>
      <x:c r="V67" s="22" t="n">
        <x:f>'تنظیمات'!$B$6</x:f>
        <x:v>46295</x:v>
      </x:c>
      <x:c r="W67" s="17" t="str">
        <x:f>IF(AND(A67&lt;&gt;"",T67&gt;=0),"OK","بررسی شود")</x:f>
        <x:v>بررسی شود</x:v>
      </x:c>
    </x:row>
    <x:row r="68">
      <x:c r="A68" s="13"/>
      <x:c r="B68" s="17" t="str">
        <x:f>IFERROR(VLOOKUP(A68,'کارمندان'!$A$5:$H$205,2,FALSE),"")</x:f>
      </x:c>
      <x:c r="C68" s="21" t="str">
        <x:f>IFERROR(VLOOKUP(A68,'کارمندان'!$A$5:$H$205,5,FALSE),0)</x:f>
      </x:c>
      <x:c r="D68" s="20" t="n">
        <x:f>SUMIFS('حضور و غیاب'!$J$5:$J$205,'حضور و غیاب'!$B$5:$B$205,$A68,'حضور و غیاب'!$A$5:$A$205,"&gt;="&amp;'تنظیمات'!$B$5,'حضور و غیاب'!$A$5:$A$205,"&lt;="&amp;'تنظیمات'!$B$6)</x:f>
        <x:v>0</x:v>
      </x:c>
      <x:c r="E68" s="20" t="n">
        <x:f>SUMIFS('حضور و غیاب'!$K$5:$K$205,'حضور و غیاب'!$B$5:$B$205,$A68,'حضور و غیاب'!$A$5:$A$205,"&gt;="&amp;'تنظیمات'!$B$5,'حضور و غیاب'!$A$5:$A$205,"&lt;="&amp;'تنظیمات'!$B$6)</x:f>
        <x:v>0</x:v>
      </x:c>
      <x:c r="F68" s="20" t="n">
        <x:f>SUMIFS('حضور و غیاب'!$G$5:$G$205,'حضور و غیاب'!$B$5:$B$205,$A68,'حضور و غیاب'!$F$5:$F$205,"Paid",'حضور و غیاب'!$A$5:$A$205,"&gt;="&amp;'تنظیمات'!$B$5,'حضور و غیاب'!$A$5:$A$205,"&lt;="&amp;'تنظیمات'!$B$6)</x:f>
        <x:v>0</x:v>
      </x:c>
      <x:c r="G68" s="20" t="n">
        <x:f>SUMIFS('حضور و غیاب'!$L$5:$L$205,'حضور و غیاب'!$B$5:$B$205,$A68,'حضور و غیاب'!$A$5:$A$205,"&gt;="&amp;'تنظیمات'!$B$5,'حضور و غیاب'!$A$5:$A$205,"&lt;="&amp;'تنظیمات'!$B$6)</x:f>
        <x:v>0</x:v>
      </x:c>
      <x:c r="H68" s="21" t="n">
        <x:f>ROUND(C68*D68,2)</x:f>
        <x:v>0</x:v>
      </x:c>
      <x:c r="I68" s="21" t="n">
        <x:f>ROUND(C68*E68*'تنظیمات'!$B$7,2)</x:f>
        <x:v>0</x:v>
      </x:c>
      <x:c r="J68" s="21" t="n">
        <x:f>ROUND(C68*F68,2)</x:f>
        <x:v>0</x:v>
      </x:c>
      <x:c r="K68" s="21" t="n">
        <x:f>ROUND((H68+I68+J68)*'تنظیمات'!$B$8,2)</x:f>
        <x:v>0</x:v>
      </x:c>
      <x:c r="L68" s="21" t="n">
        <x:f>SUM(H68:K68)</x:f>
        <x:v>0</x:v>
      </x:c>
      <x:c r="M68" s="21" t="n">
        <x:f>ROUND(MAX(0,L68-'تنظیمات'!$B$9)*'تنظیمات'!$B$10,2)</x:f>
        <x:v>0</x:v>
      </x:c>
      <x:c r="N68" s="21" t="n">
        <x:f>ROUND(MAX(0,L68*12-'تنظیمات'!$B$11)/12*'تنظیمات'!$B$12,2)</x:f>
        <x:v>0</x:v>
      </x:c>
      <x:c r="O68" s="21" t="n">
        <x:f>ROUND(L68*'تنظیمات'!$B$13,2)</x:f>
        <x:v>0</x:v>
      </x:c>
      <x:c r="P68" s="21" t="n">
        <x:f>ROUND((MIN(L68*12,'تنظیمات'!$B$17)*'تنظیمات'!$B$18+MAX(0,MIN(L68*12,'تنظیمات'!$B$19)-'تنظیمات'!$B$17)*'تنظیمات'!$B$20)/12,2)</x:f>
        <x:v>0</x:v>
      </x:c>
      <x:c r="Q68" s="21" t="n">
        <x:f>ROUND(MIN(L68*12,'تنظیمات'!$B$21)*'تنظیمات'!$B$22/12,2)</x:f>
        <x:v>0</x:v>
      </x:c>
      <x:c r="R68" s="21" t="n">
        <x:f>ROUND(MIN('تنظیمات'!$B$16,MAX(0,L68*12-'تنظیمات'!$B$14)*'تنظیمات'!$B$15)/12,2)</x:f>
        <x:v>0</x:v>
      </x:c>
      <x:c r="S68" s="21" t="n">
        <x:f>SUM(M68:R68)</x:f>
        <x:v>0</x:v>
      </x:c>
      <x:c r="T68" s="21" t="n">
        <x:f>L68-S68</x:f>
        <x:v>0</x:v>
      </x:c>
      <x:c r="U68" s="22" t="n">
        <x:f>'تنظیمات'!$B$5</x:f>
        <x:v>46266</x:v>
      </x:c>
      <x:c r="V68" s="22" t="n">
        <x:f>'تنظیمات'!$B$6</x:f>
        <x:v>46295</x:v>
      </x:c>
      <x:c r="W68" s="17" t="str">
        <x:f>IF(AND(A68&lt;&gt;"",T68&gt;=0),"OK","بررسی شود")</x:f>
        <x:v>بررسی شود</x:v>
      </x:c>
    </x:row>
    <x:row r="69">
      <x:c r="A69" s="13"/>
      <x:c r="B69" s="17" t="str">
        <x:f>IFERROR(VLOOKUP(A69,'کارمندان'!$A$5:$H$205,2,FALSE),"")</x:f>
      </x:c>
      <x:c r="C69" s="21" t="str">
        <x:f>IFERROR(VLOOKUP(A69,'کارمندان'!$A$5:$H$205,5,FALSE),0)</x:f>
      </x:c>
      <x:c r="D69" s="20" t="n">
        <x:f>SUMIFS('حضور و غیاب'!$J$5:$J$205,'حضور و غیاب'!$B$5:$B$205,$A69,'حضور و غیاب'!$A$5:$A$205,"&gt;="&amp;'تنظیمات'!$B$5,'حضور و غیاب'!$A$5:$A$205,"&lt;="&amp;'تنظیمات'!$B$6)</x:f>
        <x:v>0</x:v>
      </x:c>
      <x:c r="E69" s="20" t="n">
        <x:f>SUMIFS('حضور و غیاب'!$K$5:$K$205,'حضور و غیاب'!$B$5:$B$205,$A69,'حضور و غیاب'!$A$5:$A$205,"&gt;="&amp;'تنظیمات'!$B$5,'حضور و غیاب'!$A$5:$A$205,"&lt;="&amp;'تنظیمات'!$B$6)</x:f>
        <x:v>0</x:v>
      </x:c>
      <x:c r="F69" s="20" t="n">
        <x:f>SUMIFS('حضور و غیاب'!$G$5:$G$205,'حضور و غیاب'!$B$5:$B$205,$A69,'حضور و غیاب'!$F$5:$F$205,"Paid",'حضور و غیاب'!$A$5:$A$205,"&gt;="&amp;'تنظیمات'!$B$5,'حضور و غیاب'!$A$5:$A$205,"&lt;="&amp;'تنظیمات'!$B$6)</x:f>
        <x:v>0</x:v>
      </x:c>
      <x:c r="G69" s="20" t="n">
        <x:f>SUMIFS('حضور و غیاب'!$L$5:$L$205,'حضور و غیاب'!$B$5:$B$205,$A69,'حضور و غیاب'!$A$5:$A$205,"&gt;="&amp;'تنظیمات'!$B$5,'حضور و غیاب'!$A$5:$A$205,"&lt;="&amp;'تنظیمات'!$B$6)</x:f>
        <x:v>0</x:v>
      </x:c>
      <x:c r="H69" s="21" t="n">
        <x:f>ROUND(C69*D69,2)</x:f>
        <x:v>0</x:v>
      </x:c>
      <x:c r="I69" s="21" t="n">
        <x:f>ROUND(C69*E69*'تنظیمات'!$B$7,2)</x:f>
        <x:v>0</x:v>
      </x:c>
      <x:c r="J69" s="21" t="n">
        <x:f>ROUND(C69*F69,2)</x:f>
        <x:v>0</x:v>
      </x:c>
      <x:c r="K69" s="21" t="n">
        <x:f>ROUND((H69+I69+J69)*'تنظیمات'!$B$8,2)</x:f>
        <x:v>0</x:v>
      </x:c>
      <x:c r="L69" s="21" t="n">
        <x:f>SUM(H69:K69)</x:f>
        <x:v>0</x:v>
      </x:c>
      <x:c r="M69" s="21" t="n">
        <x:f>ROUND(MAX(0,L69-'تنظیمات'!$B$9)*'تنظیمات'!$B$10,2)</x:f>
        <x:v>0</x:v>
      </x:c>
      <x:c r="N69" s="21" t="n">
        <x:f>ROUND(MAX(0,L69*12-'تنظیمات'!$B$11)/12*'تنظیمات'!$B$12,2)</x:f>
        <x:v>0</x:v>
      </x:c>
      <x:c r="O69" s="21" t="n">
        <x:f>ROUND(L69*'تنظیمات'!$B$13,2)</x:f>
        <x:v>0</x:v>
      </x:c>
      <x:c r="P69" s="21" t="n">
        <x:f>ROUND((MIN(L69*12,'تنظیمات'!$B$17)*'تنظیمات'!$B$18+MAX(0,MIN(L69*12,'تنظیمات'!$B$19)-'تنظیمات'!$B$17)*'تنظیمات'!$B$20)/12,2)</x:f>
        <x:v>0</x:v>
      </x:c>
      <x:c r="Q69" s="21" t="n">
        <x:f>ROUND(MIN(L69*12,'تنظیمات'!$B$21)*'تنظیمات'!$B$22/12,2)</x:f>
        <x:v>0</x:v>
      </x:c>
      <x:c r="R69" s="21" t="n">
        <x:f>ROUND(MIN('تنظیمات'!$B$16,MAX(0,L69*12-'تنظیمات'!$B$14)*'تنظیمات'!$B$15)/12,2)</x:f>
        <x:v>0</x:v>
      </x:c>
      <x:c r="S69" s="21" t="n">
        <x:f>SUM(M69:R69)</x:f>
        <x:v>0</x:v>
      </x:c>
      <x:c r="T69" s="21" t="n">
        <x:f>L69-S69</x:f>
        <x:v>0</x:v>
      </x:c>
      <x:c r="U69" s="22" t="n">
        <x:f>'تنظیمات'!$B$5</x:f>
        <x:v>46266</x:v>
      </x:c>
      <x:c r="V69" s="22" t="n">
        <x:f>'تنظیمات'!$B$6</x:f>
        <x:v>46295</x:v>
      </x:c>
      <x:c r="W69" s="17" t="str">
        <x:f>IF(AND(A69&lt;&gt;"",T69&gt;=0),"OK","بررسی شود")</x:f>
        <x:v>بررسی شود</x:v>
      </x:c>
    </x:row>
    <x:row r="70">
      <x:c r="A70" s="13"/>
      <x:c r="B70" s="17" t="str">
        <x:f>IFERROR(VLOOKUP(A70,'کارمندان'!$A$5:$H$205,2,FALSE),"")</x:f>
      </x:c>
      <x:c r="C70" s="21" t="str">
        <x:f>IFERROR(VLOOKUP(A70,'کارمندان'!$A$5:$H$205,5,FALSE),0)</x:f>
      </x:c>
      <x:c r="D70" s="20" t="n">
        <x:f>SUMIFS('حضور و غیاب'!$J$5:$J$205,'حضور و غیاب'!$B$5:$B$205,$A70,'حضور و غیاب'!$A$5:$A$205,"&gt;="&amp;'تنظیمات'!$B$5,'حضور و غیاب'!$A$5:$A$205,"&lt;="&amp;'تنظیمات'!$B$6)</x:f>
        <x:v>0</x:v>
      </x:c>
      <x:c r="E70" s="20" t="n">
        <x:f>SUMIFS('حضور و غیاب'!$K$5:$K$205,'حضور و غیاب'!$B$5:$B$205,$A70,'حضور و غیاب'!$A$5:$A$205,"&gt;="&amp;'تنظیمات'!$B$5,'حضور و غیاب'!$A$5:$A$205,"&lt;="&amp;'تنظیمات'!$B$6)</x:f>
        <x:v>0</x:v>
      </x:c>
      <x:c r="F70" s="20" t="n">
        <x:f>SUMIFS('حضور و غیاب'!$G$5:$G$205,'حضور و غیاب'!$B$5:$B$205,$A70,'حضور و غیاب'!$F$5:$F$205,"Paid",'حضور و غیاب'!$A$5:$A$205,"&gt;="&amp;'تنظیمات'!$B$5,'حضور و غیاب'!$A$5:$A$205,"&lt;="&amp;'تنظیمات'!$B$6)</x:f>
        <x:v>0</x:v>
      </x:c>
      <x:c r="G70" s="20" t="n">
        <x:f>SUMIFS('حضور و غیاب'!$L$5:$L$205,'حضور و غیاب'!$B$5:$B$205,$A70,'حضور و غیاب'!$A$5:$A$205,"&gt;="&amp;'تنظیمات'!$B$5,'حضور و غیاب'!$A$5:$A$205,"&lt;="&amp;'تنظیمات'!$B$6)</x:f>
        <x:v>0</x:v>
      </x:c>
      <x:c r="H70" s="21" t="n">
        <x:f>ROUND(C70*D70,2)</x:f>
        <x:v>0</x:v>
      </x:c>
      <x:c r="I70" s="21" t="n">
        <x:f>ROUND(C70*E70*'تنظیمات'!$B$7,2)</x:f>
        <x:v>0</x:v>
      </x:c>
      <x:c r="J70" s="21" t="n">
        <x:f>ROUND(C70*F70,2)</x:f>
        <x:v>0</x:v>
      </x:c>
      <x:c r="K70" s="21" t="n">
        <x:f>ROUND((H70+I70+J70)*'تنظیمات'!$B$8,2)</x:f>
        <x:v>0</x:v>
      </x:c>
      <x:c r="L70" s="21" t="n">
        <x:f>SUM(H70:K70)</x:f>
        <x:v>0</x:v>
      </x:c>
      <x:c r="M70" s="21" t="n">
        <x:f>ROUND(MAX(0,L70-'تنظیمات'!$B$9)*'تنظیمات'!$B$10,2)</x:f>
        <x:v>0</x:v>
      </x:c>
      <x:c r="N70" s="21" t="n">
        <x:f>ROUND(MAX(0,L70*12-'تنظیمات'!$B$11)/12*'تنظیمات'!$B$12,2)</x:f>
        <x:v>0</x:v>
      </x:c>
      <x:c r="O70" s="21" t="n">
        <x:f>ROUND(L70*'تنظیمات'!$B$13,2)</x:f>
        <x:v>0</x:v>
      </x:c>
      <x:c r="P70" s="21" t="n">
        <x:f>ROUND((MIN(L70*12,'تنظیمات'!$B$17)*'تنظیمات'!$B$18+MAX(0,MIN(L70*12,'تنظیمات'!$B$19)-'تنظیمات'!$B$17)*'تنظیمات'!$B$20)/12,2)</x:f>
        <x:v>0</x:v>
      </x:c>
      <x:c r="Q70" s="21" t="n">
        <x:f>ROUND(MIN(L70*12,'تنظیمات'!$B$21)*'تنظیمات'!$B$22/12,2)</x:f>
        <x:v>0</x:v>
      </x:c>
      <x:c r="R70" s="21" t="n">
        <x:f>ROUND(MIN('تنظیمات'!$B$16,MAX(0,L70*12-'تنظیمات'!$B$14)*'تنظیمات'!$B$15)/12,2)</x:f>
        <x:v>0</x:v>
      </x:c>
      <x:c r="S70" s="21" t="n">
        <x:f>SUM(M70:R70)</x:f>
        <x:v>0</x:v>
      </x:c>
      <x:c r="T70" s="21" t="n">
        <x:f>L70-S70</x:f>
        <x:v>0</x:v>
      </x:c>
      <x:c r="U70" s="22" t="n">
        <x:f>'تنظیمات'!$B$5</x:f>
        <x:v>46266</x:v>
      </x:c>
      <x:c r="V70" s="22" t="n">
        <x:f>'تنظیمات'!$B$6</x:f>
        <x:v>46295</x:v>
      </x:c>
      <x:c r="W70" s="17" t="str">
        <x:f>IF(AND(A70&lt;&gt;"",T70&gt;=0),"OK","بررسی شود")</x:f>
        <x:v>بررسی شود</x:v>
      </x:c>
    </x:row>
    <x:row r="71">
      <x:c r="A71" s="13"/>
      <x:c r="B71" s="17" t="str">
        <x:f>IFERROR(VLOOKUP(A71,'کارمندان'!$A$5:$H$205,2,FALSE),"")</x:f>
      </x:c>
      <x:c r="C71" s="21" t="str">
        <x:f>IFERROR(VLOOKUP(A71,'کارمندان'!$A$5:$H$205,5,FALSE),0)</x:f>
      </x:c>
      <x:c r="D71" s="20" t="n">
        <x:f>SUMIFS('حضور و غیاب'!$J$5:$J$205,'حضور و غیاب'!$B$5:$B$205,$A71,'حضور و غیاب'!$A$5:$A$205,"&gt;="&amp;'تنظیمات'!$B$5,'حضور و غیاب'!$A$5:$A$205,"&lt;="&amp;'تنظیمات'!$B$6)</x:f>
        <x:v>0</x:v>
      </x:c>
      <x:c r="E71" s="20" t="n">
        <x:f>SUMIFS('حضور و غیاب'!$K$5:$K$205,'حضور و غیاب'!$B$5:$B$205,$A71,'حضور و غیاب'!$A$5:$A$205,"&gt;="&amp;'تنظیمات'!$B$5,'حضور و غیاب'!$A$5:$A$205,"&lt;="&amp;'تنظیمات'!$B$6)</x:f>
        <x:v>0</x:v>
      </x:c>
      <x:c r="F71" s="20" t="n">
        <x:f>SUMIFS('حضور و غیاب'!$G$5:$G$205,'حضور و غیاب'!$B$5:$B$205,$A71,'حضور و غیاب'!$F$5:$F$205,"Paid",'حضور و غیاب'!$A$5:$A$205,"&gt;="&amp;'تنظیمات'!$B$5,'حضور و غیاب'!$A$5:$A$205,"&lt;="&amp;'تنظیمات'!$B$6)</x:f>
        <x:v>0</x:v>
      </x:c>
      <x:c r="G71" s="20" t="n">
        <x:f>SUMIFS('حضور و غیاب'!$L$5:$L$205,'حضور و غیاب'!$B$5:$B$205,$A71,'حضور و غیاب'!$A$5:$A$205,"&gt;="&amp;'تنظیمات'!$B$5,'حضور و غیاب'!$A$5:$A$205,"&lt;="&amp;'تنظیمات'!$B$6)</x:f>
        <x:v>0</x:v>
      </x:c>
      <x:c r="H71" s="21" t="n">
        <x:f>ROUND(C71*D71,2)</x:f>
        <x:v>0</x:v>
      </x:c>
      <x:c r="I71" s="21" t="n">
        <x:f>ROUND(C71*E71*'تنظیمات'!$B$7,2)</x:f>
        <x:v>0</x:v>
      </x:c>
      <x:c r="J71" s="21" t="n">
        <x:f>ROUND(C71*F71,2)</x:f>
        <x:v>0</x:v>
      </x:c>
      <x:c r="K71" s="21" t="n">
        <x:f>ROUND((H71+I71+J71)*'تنظیمات'!$B$8,2)</x:f>
        <x:v>0</x:v>
      </x:c>
      <x:c r="L71" s="21" t="n">
        <x:f>SUM(H71:K71)</x:f>
        <x:v>0</x:v>
      </x:c>
      <x:c r="M71" s="21" t="n">
        <x:f>ROUND(MAX(0,L71-'تنظیمات'!$B$9)*'تنظیمات'!$B$10,2)</x:f>
        <x:v>0</x:v>
      </x:c>
      <x:c r="N71" s="21" t="n">
        <x:f>ROUND(MAX(0,L71*12-'تنظیمات'!$B$11)/12*'تنظیمات'!$B$12,2)</x:f>
        <x:v>0</x:v>
      </x:c>
      <x:c r="O71" s="21" t="n">
        <x:f>ROUND(L71*'تنظیمات'!$B$13,2)</x:f>
        <x:v>0</x:v>
      </x:c>
      <x:c r="P71" s="21" t="n">
        <x:f>ROUND((MIN(L71*12,'تنظیمات'!$B$17)*'تنظیمات'!$B$18+MAX(0,MIN(L71*12,'تنظیمات'!$B$19)-'تنظیمات'!$B$17)*'تنظیمات'!$B$20)/12,2)</x:f>
        <x:v>0</x:v>
      </x:c>
      <x:c r="Q71" s="21" t="n">
        <x:f>ROUND(MIN(L71*12,'تنظیمات'!$B$21)*'تنظیمات'!$B$22/12,2)</x:f>
        <x:v>0</x:v>
      </x:c>
      <x:c r="R71" s="21" t="n">
        <x:f>ROUND(MIN('تنظیمات'!$B$16,MAX(0,L71*12-'تنظیمات'!$B$14)*'تنظیمات'!$B$15)/12,2)</x:f>
        <x:v>0</x:v>
      </x:c>
      <x:c r="S71" s="21" t="n">
        <x:f>SUM(M71:R71)</x:f>
        <x:v>0</x:v>
      </x:c>
      <x:c r="T71" s="21" t="n">
        <x:f>L71-S71</x:f>
        <x:v>0</x:v>
      </x:c>
      <x:c r="U71" s="22" t="n">
        <x:f>'تنظیمات'!$B$5</x:f>
        <x:v>46266</x:v>
      </x:c>
      <x:c r="V71" s="22" t="n">
        <x:f>'تنظیمات'!$B$6</x:f>
        <x:v>46295</x:v>
      </x:c>
      <x:c r="W71" s="17" t="str">
        <x:f>IF(AND(A71&lt;&gt;"",T71&gt;=0),"OK","بررسی شود")</x:f>
        <x:v>بررسی شود</x:v>
      </x:c>
    </x:row>
    <x:row r="72">
      <x:c r="A72" s="13"/>
      <x:c r="B72" s="17" t="str">
        <x:f>IFERROR(VLOOKUP(A72,'کارمندان'!$A$5:$H$205,2,FALSE),"")</x:f>
      </x:c>
      <x:c r="C72" s="21" t="str">
        <x:f>IFERROR(VLOOKUP(A72,'کارمندان'!$A$5:$H$205,5,FALSE),0)</x:f>
      </x:c>
      <x:c r="D72" s="20" t="n">
        <x:f>SUMIFS('حضور و غیاب'!$J$5:$J$205,'حضور و غیاب'!$B$5:$B$205,$A72,'حضور و غیاب'!$A$5:$A$205,"&gt;="&amp;'تنظیمات'!$B$5,'حضور و غیاب'!$A$5:$A$205,"&lt;="&amp;'تنظیمات'!$B$6)</x:f>
        <x:v>0</x:v>
      </x:c>
      <x:c r="E72" s="20" t="n">
        <x:f>SUMIFS('حضور و غیاب'!$K$5:$K$205,'حضور و غیاب'!$B$5:$B$205,$A72,'حضور و غیاب'!$A$5:$A$205,"&gt;="&amp;'تنظیمات'!$B$5,'حضور و غیاب'!$A$5:$A$205,"&lt;="&amp;'تنظیمات'!$B$6)</x:f>
        <x:v>0</x:v>
      </x:c>
      <x:c r="F72" s="20" t="n">
        <x:f>SUMIFS('حضور و غیاب'!$G$5:$G$205,'حضور و غیاب'!$B$5:$B$205,$A72,'حضور و غیاب'!$F$5:$F$205,"Paid",'حضور و غیاب'!$A$5:$A$205,"&gt;="&amp;'تنظیمات'!$B$5,'حضور و غیاب'!$A$5:$A$205,"&lt;="&amp;'تنظیمات'!$B$6)</x:f>
        <x:v>0</x:v>
      </x:c>
      <x:c r="G72" s="20" t="n">
        <x:f>SUMIFS('حضور و غیاب'!$L$5:$L$205,'حضور و غیاب'!$B$5:$B$205,$A72,'حضور و غیاب'!$A$5:$A$205,"&gt;="&amp;'تنظیمات'!$B$5,'حضور و غیاب'!$A$5:$A$205,"&lt;="&amp;'تنظیمات'!$B$6)</x:f>
        <x:v>0</x:v>
      </x:c>
      <x:c r="H72" s="21" t="n">
        <x:f>ROUND(C72*D72,2)</x:f>
        <x:v>0</x:v>
      </x:c>
      <x:c r="I72" s="21" t="n">
        <x:f>ROUND(C72*E72*'تنظیمات'!$B$7,2)</x:f>
        <x:v>0</x:v>
      </x:c>
      <x:c r="J72" s="21" t="n">
        <x:f>ROUND(C72*F72,2)</x:f>
        <x:v>0</x:v>
      </x:c>
      <x:c r="K72" s="21" t="n">
        <x:f>ROUND((H72+I72+J72)*'تنظیمات'!$B$8,2)</x:f>
        <x:v>0</x:v>
      </x:c>
      <x:c r="L72" s="21" t="n">
        <x:f>SUM(H72:K72)</x:f>
        <x:v>0</x:v>
      </x:c>
      <x:c r="M72" s="21" t="n">
        <x:f>ROUND(MAX(0,L72-'تنظیمات'!$B$9)*'تنظیمات'!$B$10,2)</x:f>
        <x:v>0</x:v>
      </x:c>
      <x:c r="N72" s="21" t="n">
        <x:f>ROUND(MAX(0,L72*12-'تنظیمات'!$B$11)/12*'تنظیمات'!$B$12,2)</x:f>
        <x:v>0</x:v>
      </x:c>
      <x:c r="O72" s="21" t="n">
        <x:f>ROUND(L72*'تنظیمات'!$B$13,2)</x:f>
        <x:v>0</x:v>
      </x:c>
      <x:c r="P72" s="21" t="n">
        <x:f>ROUND((MIN(L72*12,'تنظیمات'!$B$17)*'تنظیمات'!$B$18+MAX(0,MIN(L72*12,'تنظیمات'!$B$19)-'تنظیمات'!$B$17)*'تنظیمات'!$B$20)/12,2)</x:f>
        <x:v>0</x:v>
      </x:c>
      <x:c r="Q72" s="21" t="n">
        <x:f>ROUND(MIN(L72*12,'تنظیمات'!$B$21)*'تنظیمات'!$B$22/12,2)</x:f>
        <x:v>0</x:v>
      </x:c>
      <x:c r="R72" s="21" t="n">
        <x:f>ROUND(MIN('تنظیمات'!$B$16,MAX(0,L72*12-'تنظیمات'!$B$14)*'تنظیمات'!$B$15)/12,2)</x:f>
        <x:v>0</x:v>
      </x:c>
      <x:c r="S72" s="21" t="n">
        <x:f>SUM(M72:R72)</x:f>
        <x:v>0</x:v>
      </x:c>
      <x:c r="T72" s="21" t="n">
        <x:f>L72-S72</x:f>
        <x:v>0</x:v>
      </x:c>
      <x:c r="U72" s="22" t="n">
        <x:f>'تنظیمات'!$B$5</x:f>
        <x:v>46266</x:v>
      </x:c>
      <x:c r="V72" s="22" t="n">
        <x:f>'تنظیمات'!$B$6</x:f>
        <x:v>46295</x:v>
      </x:c>
      <x:c r="W72" s="17" t="str">
        <x:f>IF(AND(A72&lt;&gt;"",T72&gt;=0),"OK","بررسی شود")</x:f>
        <x:v>بررسی شود</x:v>
      </x:c>
    </x:row>
    <x:row r="73">
      <x:c r="A73" s="13"/>
      <x:c r="B73" s="17" t="str">
        <x:f>IFERROR(VLOOKUP(A73,'کارمندان'!$A$5:$H$205,2,FALSE),"")</x:f>
      </x:c>
      <x:c r="C73" s="21" t="str">
        <x:f>IFERROR(VLOOKUP(A73,'کارمندان'!$A$5:$H$205,5,FALSE),0)</x:f>
      </x:c>
      <x:c r="D73" s="20" t="n">
        <x:f>SUMIFS('حضور و غیاب'!$J$5:$J$205,'حضور و غیاب'!$B$5:$B$205,$A73,'حضور و غیاب'!$A$5:$A$205,"&gt;="&amp;'تنظیمات'!$B$5,'حضور و غیاب'!$A$5:$A$205,"&lt;="&amp;'تنظیمات'!$B$6)</x:f>
        <x:v>0</x:v>
      </x:c>
      <x:c r="E73" s="20" t="n">
        <x:f>SUMIFS('حضور و غیاب'!$K$5:$K$205,'حضور و غیاب'!$B$5:$B$205,$A73,'حضور و غیاب'!$A$5:$A$205,"&gt;="&amp;'تنظیمات'!$B$5,'حضور و غیاب'!$A$5:$A$205,"&lt;="&amp;'تنظیمات'!$B$6)</x:f>
        <x:v>0</x:v>
      </x:c>
      <x:c r="F73" s="20" t="n">
        <x:f>SUMIFS('حضور و غیاب'!$G$5:$G$205,'حضور و غیاب'!$B$5:$B$205,$A73,'حضور و غیاب'!$F$5:$F$205,"Paid",'حضور و غیاب'!$A$5:$A$205,"&gt;="&amp;'تنظیمات'!$B$5,'حضور و غیاب'!$A$5:$A$205,"&lt;="&amp;'تنظیمات'!$B$6)</x:f>
        <x:v>0</x:v>
      </x:c>
      <x:c r="G73" s="20" t="n">
        <x:f>SUMIFS('حضور و غیاب'!$L$5:$L$205,'حضور و غیاب'!$B$5:$B$205,$A73,'حضور و غیاب'!$A$5:$A$205,"&gt;="&amp;'تنظیمات'!$B$5,'حضور و غیاب'!$A$5:$A$205,"&lt;="&amp;'تنظیمات'!$B$6)</x:f>
        <x:v>0</x:v>
      </x:c>
      <x:c r="H73" s="21" t="n">
        <x:f>ROUND(C73*D73,2)</x:f>
        <x:v>0</x:v>
      </x:c>
      <x:c r="I73" s="21" t="n">
        <x:f>ROUND(C73*E73*'تنظیمات'!$B$7,2)</x:f>
        <x:v>0</x:v>
      </x:c>
      <x:c r="J73" s="21" t="n">
        <x:f>ROUND(C73*F73,2)</x:f>
        <x:v>0</x:v>
      </x:c>
      <x:c r="K73" s="21" t="n">
        <x:f>ROUND((H73+I73+J73)*'تنظیمات'!$B$8,2)</x:f>
        <x:v>0</x:v>
      </x:c>
      <x:c r="L73" s="21" t="n">
        <x:f>SUM(H73:K73)</x:f>
        <x:v>0</x:v>
      </x:c>
      <x:c r="M73" s="21" t="n">
        <x:f>ROUND(MAX(0,L73-'تنظیمات'!$B$9)*'تنظیمات'!$B$10,2)</x:f>
        <x:v>0</x:v>
      </x:c>
      <x:c r="N73" s="21" t="n">
        <x:f>ROUND(MAX(0,L73*12-'تنظیمات'!$B$11)/12*'تنظیمات'!$B$12,2)</x:f>
        <x:v>0</x:v>
      </x:c>
      <x:c r="O73" s="21" t="n">
        <x:f>ROUND(L73*'تنظیمات'!$B$13,2)</x:f>
        <x:v>0</x:v>
      </x:c>
      <x:c r="P73" s="21" t="n">
        <x:f>ROUND((MIN(L73*12,'تنظیمات'!$B$17)*'تنظیمات'!$B$18+MAX(0,MIN(L73*12,'تنظیمات'!$B$19)-'تنظیمات'!$B$17)*'تنظیمات'!$B$20)/12,2)</x:f>
        <x:v>0</x:v>
      </x:c>
      <x:c r="Q73" s="21" t="n">
        <x:f>ROUND(MIN(L73*12,'تنظیمات'!$B$21)*'تنظیمات'!$B$22/12,2)</x:f>
        <x:v>0</x:v>
      </x:c>
      <x:c r="R73" s="21" t="n">
        <x:f>ROUND(MIN('تنظیمات'!$B$16,MAX(0,L73*12-'تنظیمات'!$B$14)*'تنظیمات'!$B$15)/12,2)</x:f>
        <x:v>0</x:v>
      </x:c>
      <x:c r="S73" s="21" t="n">
        <x:f>SUM(M73:R73)</x:f>
        <x:v>0</x:v>
      </x:c>
      <x:c r="T73" s="21" t="n">
        <x:f>L73-S73</x:f>
        <x:v>0</x:v>
      </x:c>
      <x:c r="U73" s="22" t="n">
        <x:f>'تنظیمات'!$B$5</x:f>
        <x:v>46266</x:v>
      </x:c>
      <x:c r="V73" s="22" t="n">
        <x:f>'تنظیمات'!$B$6</x:f>
        <x:v>46295</x:v>
      </x:c>
      <x:c r="W73" s="17" t="str">
        <x:f>IF(AND(A73&lt;&gt;"",T73&gt;=0),"OK","بررسی شود")</x:f>
        <x:v>بررسی شود</x:v>
      </x:c>
    </x:row>
    <x:row r="74">
      <x:c r="A74" s="13"/>
      <x:c r="B74" s="17" t="str">
        <x:f>IFERROR(VLOOKUP(A74,'کارمندان'!$A$5:$H$205,2,FALSE),"")</x:f>
      </x:c>
      <x:c r="C74" s="21" t="str">
        <x:f>IFERROR(VLOOKUP(A74,'کارمندان'!$A$5:$H$205,5,FALSE),0)</x:f>
      </x:c>
      <x:c r="D74" s="20" t="n">
        <x:f>SUMIFS('حضور و غیاب'!$J$5:$J$205,'حضور و غیاب'!$B$5:$B$205,$A74,'حضور و غیاب'!$A$5:$A$205,"&gt;="&amp;'تنظیمات'!$B$5,'حضور و غیاب'!$A$5:$A$205,"&lt;="&amp;'تنظیمات'!$B$6)</x:f>
        <x:v>0</x:v>
      </x:c>
      <x:c r="E74" s="20" t="n">
        <x:f>SUMIFS('حضور و غیاب'!$K$5:$K$205,'حضور و غیاب'!$B$5:$B$205,$A74,'حضور و غیاب'!$A$5:$A$205,"&gt;="&amp;'تنظیمات'!$B$5,'حضور و غیاب'!$A$5:$A$205,"&lt;="&amp;'تنظیمات'!$B$6)</x:f>
        <x:v>0</x:v>
      </x:c>
      <x:c r="F74" s="20" t="n">
        <x:f>SUMIFS('حضور و غیاب'!$G$5:$G$205,'حضور و غیاب'!$B$5:$B$205,$A74,'حضور و غیاب'!$F$5:$F$205,"Paid",'حضور و غیاب'!$A$5:$A$205,"&gt;="&amp;'تنظیمات'!$B$5,'حضور و غیاب'!$A$5:$A$205,"&lt;="&amp;'تنظیمات'!$B$6)</x:f>
        <x:v>0</x:v>
      </x:c>
      <x:c r="G74" s="20" t="n">
        <x:f>SUMIFS('حضور و غیاب'!$L$5:$L$205,'حضور و غیاب'!$B$5:$B$205,$A74,'حضور و غیاب'!$A$5:$A$205,"&gt;="&amp;'تنظیمات'!$B$5,'حضور و غیاب'!$A$5:$A$205,"&lt;="&amp;'تنظیمات'!$B$6)</x:f>
        <x:v>0</x:v>
      </x:c>
      <x:c r="H74" s="21" t="n">
        <x:f>ROUND(C74*D74,2)</x:f>
        <x:v>0</x:v>
      </x:c>
      <x:c r="I74" s="21" t="n">
        <x:f>ROUND(C74*E74*'تنظیمات'!$B$7,2)</x:f>
        <x:v>0</x:v>
      </x:c>
      <x:c r="J74" s="21" t="n">
        <x:f>ROUND(C74*F74,2)</x:f>
        <x:v>0</x:v>
      </x:c>
      <x:c r="K74" s="21" t="n">
        <x:f>ROUND((H74+I74+J74)*'تنظیمات'!$B$8,2)</x:f>
        <x:v>0</x:v>
      </x:c>
      <x:c r="L74" s="21" t="n">
        <x:f>SUM(H74:K74)</x:f>
        <x:v>0</x:v>
      </x:c>
      <x:c r="M74" s="21" t="n">
        <x:f>ROUND(MAX(0,L74-'تنظیمات'!$B$9)*'تنظیمات'!$B$10,2)</x:f>
        <x:v>0</x:v>
      </x:c>
      <x:c r="N74" s="21" t="n">
        <x:f>ROUND(MAX(0,L74*12-'تنظیمات'!$B$11)/12*'تنظیمات'!$B$12,2)</x:f>
        <x:v>0</x:v>
      </x:c>
      <x:c r="O74" s="21" t="n">
        <x:f>ROUND(L74*'تنظیمات'!$B$13,2)</x:f>
        <x:v>0</x:v>
      </x:c>
      <x:c r="P74" s="21" t="n">
        <x:f>ROUND((MIN(L74*12,'تنظیمات'!$B$17)*'تنظیمات'!$B$18+MAX(0,MIN(L74*12,'تنظیمات'!$B$19)-'تنظیمات'!$B$17)*'تنظیمات'!$B$20)/12,2)</x:f>
        <x:v>0</x:v>
      </x:c>
      <x:c r="Q74" s="21" t="n">
        <x:f>ROUND(MIN(L74*12,'تنظیمات'!$B$21)*'تنظیمات'!$B$22/12,2)</x:f>
        <x:v>0</x:v>
      </x:c>
      <x:c r="R74" s="21" t="n">
        <x:f>ROUND(MIN('تنظیمات'!$B$16,MAX(0,L74*12-'تنظیمات'!$B$14)*'تنظیمات'!$B$15)/12,2)</x:f>
        <x:v>0</x:v>
      </x:c>
      <x:c r="S74" s="21" t="n">
        <x:f>SUM(M74:R74)</x:f>
        <x:v>0</x:v>
      </x:c>
      <x:c r="T74" s="21" t="n">
        <x:f>L74-S74</x:f>
        <x:v>0</x:v>
      </x:c>
      <x:c r="U74" s="22" t="n">
        <x:f>'تنظیمات'!$B$5</x:f>
        <x:v>46266</x:v>
      </x:c>
      <x:c r="V74" s="22" t="n">
        <x:f>'تنظیمات'!$B$6</x:f>
        <x:v>46295</x:v>
      </x:c>
      <x:c r="W74" s="17" t="str">
        <x:f>IF(AND(A74&lt;&gt;"",T74&gt;=0),"OK","بررسی شود")</x:f>
        <x:v>بررسی شود</x:v>
      </x:c>
    </x:row>
    <x:row r="75">
      <x:c r="A75" s="13"/>
      <x:c r="B75" s="17" t="str">
        <x:f>IFERROR(VLOOKUP(A75,'کارمندان'!$A$5:$H$205,2,FALSE),"")</x:f>
      </x:c>
      <x:c r="C75" s="21" t="str">
        <x:f>IFERROR(VLOOKUP(A75,'کارمندان'!$A$5:$H$205,5,FALSE),0)</x:f>
      </x:c>
      <x:c r="D75" s="20" t="n">
        <x:f>SUMIFS('حضور و غیاب'!$J$5:$J$205,'حضور و غیاب'!$B$5:$B$205,$A75,'حضور و غیاب'!$A$5:$A$205,"&gt;="&amp;'تنظیمات'!$B$5,'حضور و غیاب'!$A$5:$A$205,"&lt;="&amp;'تنظیمات'!$B$6)</x:f>
        <x:v>0</x:v>
      </x:c>
      <x:c r="E75" s="20" t="n">
        <x:f>SUMIFS('حضور و غیاب'!$K$5:$K$205,'حضور و غیاب'!$B$5:$B$205,$A75,'حضور و غیاب'!$A$5:$A$205,"&gt;="&amp;'تنظیمات'!$B$5,'حضور و غیاب'!$A$5:$A$205,"&lt;="&amp;'تنظیمات'!$B$6)</x:f>
        <x:v>0</x:v>
      </x:c>
      <x:c r="F75" s="20" t="n">
        <x:f>SUMIFS('حضور و غیاب'!$G$5:$G$205,'حضور و غیاب'!$B$5:$B$205,$A75,'حضور و غیاب'!$F$5:$F$205,"Paid",'حضور و غیاب'!$A$5:$A$205,"&gt;="&amp;'تنظیمات'!$B$5,'حضور و غیاب'!$A$5:$A$205,"&lt;="&amp;'تنظیمات'!$B$6)</x:f>
        <x:v>0</x:v>
      </x:c>
      <x:c r="G75" s="20" t="n">
        <x:f>SUMIFS('حضور و غیاب'!$L$5:$L$205,'حضور و غیاب'!$B$5:$B$205,$A75,'حضور و غیاب'!$A$5:$A$205,"&gt;="&amp;'تنظیمات'!$B$5,'حضور و غیاب'!$A$5:$A$205,"&lt;="&amp;'تنظیمات'!$B$6)</x:f>
        <x:v>0</x:v>
      </x:c>
      <x:c r="H75" s="21" t="n">
        <x:f>ROUND(C75*D75,2)</x:f>
        <x:v>0</x:v>
      </x:c>
      <x:c r="I75" s="21" t="n">
        <x:f>ROUND(C75*E75*'تنظیمات'!$B$7,2)</x:f>
        <x:v>0</x:v>
      </x:c>
      <x:c r="J75" s="21" t="n">
        <x:f>ROUND(C75*F75,2)</x:f>
        <x:v>0</x:v>
      </x:c>
      <x:c r="K75" s="21" t="n">
        <x:f>ROUND((H75+I75+J75)*'تنظیمات'!$B$8,2)</x:f>
        <x:v>0</x:v>
      </x:c>
      <x:c r="L75" s="21" t="n">
        <x:f>SUM(H75:K75)</x:f>
        <x:v>0</x:v>
      </x:c>
      <x:c r="M75" s="21" t="n">
        <x:f>ROUND(MAX(0,L75-'تنظیمات'!$B$9)*'تنظیمات'!$B$10,2)</x:f>
        <x:v>0</x:v>
      </x:c>
      <x:c r="N75" s="21" t="n">
        <x:f>ROUND(MAX(0,L75*12-'تنظیمات'!$B$11)/12*'تنظیمات'!$B$12,2)</x:f>
        <x:v>0</x:v>
      </x:c>
      <x:c r="O75" s="21" t="n">
        <x:f>ROUND(L75*'تنظیمات'!$B$13,2)</x:f>
        <x:v>0</x:v>
      </x:c>
      <x:c r="P75" s="21" t="n">
        <x:f>ROUND((MIN(L75*12,'تنظیمات'!$B$17)*'تنظیمات'!$B$18+MAX(0,MIN(L75*12,'تنظیمات'!$B$19)-'تنظیمات'!$B$17)*'تنظیمات'!$B$20)/12,2)</x:f>
        <x:v>0</x:v>
      </x:c>
      <x:c r="Q75" s="21" t="n">
        <x:f>ROUND(MIN(L75*12,'تنظیمات'!$B$21)*'تنظیمات'!$B$22/12,2)</x:f>
        <x:v>0</x:v>
      </x:c>
      <x:c r="R75" s="21" t="n">
        <x:f>ROUND(MIN('تنظیمات'!$B$16,MAX(0,L75*12-'تنظیمات'!$B$14)*'تنظیمات'!$B$15)/12,2)</x:f>
        <x:v>0</x:v>
      </x:c>
      <x:c r="S75" s="21" t="n">
        <x:f>SUM(M75:R75)</x:f>
        <x:v>0</x:v>
      </x:c>
      <x:c r="T75" s="21" t="n">
        <x:f>L75-S75</x:f>
        <x:v>0</x:v>
      </x:c>
      <x:c r="U75" s="22" t="n">
        <x:f>'تنظیمات'!$B$5</x:f>
        <x:v>46266</x:v>
      </x:c>
      <x:c r="V75" s="22" t="n">
        <x:f>'تنظیمات'!$B$6</x:f>
        <x:v>46295</x:v>
      </x:c>
      <x:c r="W75" s="17" t="str">
        <x:f>IF(AND(A75&lt;&gt;"",T75&gt;=0),"OK","بررسی شود")</x:f>
        <x:v>بررسی شود</x:v>
      </x:c>
    </x:row>
    <x:row r="76">
      <x:c r="A76" s="13"/>
      <x:c r="B76" s="17" t="str">
        <x:f>IFERROR(VLOOKUP(A76,'کارمندان'!$A$5:$H$205,2,FALSE),"")</x:f>
      </x:c>
      <x:c r="C76" s="21" t="str">
        <x:f>IFERROR(VLOOKUP(A76,'کارمندان'!$A$5:$H$205,5,FALSE),0)</x:f>
      </x:c>
      <x:c r="D76" s="20" t="n">
        <x:f>SUMIFS('حضور و غیاب'!$J$5:$J$205,'حضور و غیاب'!$B$5:$B$205,$A76,'حضور و غیاب'!$A$5:$A$205,"&gt;="&amp;'تنظیمات'!$B$5,'حضور و غیاب'!$A$5:$A$205,"&lt;="&amp;'تنظیمات'!$B$6)</x:f>
        <x:v>0</x:v>
      </x:c>
      <x:c r="E76" s="20" t="n">
        <x:f>SUMIFS('حضور و غیاب'!$K$5:$K$205,'حضور و غیاب'!$B$5:$B$205,$A76,'حضور و غیاب'!$A$5:$A$205,"&gt;="&amp;'تنظیمات'!$B$5,'حضور و غیاب'!$A$5:$A$205,"&lt;="&amp;'تنظیمات'!$B$6)</x:f>
        <x:v>0</x:v>
      </x:c>
      <x:c r="F76" s="20" t="n">
        <x:f>SUMIFS('حضور و غیاب'!$G$5:$G$205,'حضور و غیاب'!$B$5:$B$205,$A76,'حضور و غیاب'!$F$5:$F$205,"Paid",'حضور و غیاب'!$A$5:$A$205,"&gt;="&amp;'تنظیمات'!$B$5,'حضور و غیاب'!$A$5:$A$205,"&lt;="&amp;'تنظیمات'!$B$6)</x:f>
        <x:v>0</x:v>
      </x:c>
      <x:c r="G76" s="20" t="n">
        <x:f>SUMIFS('حضور و غیاب'!$L$5:$L$205,'حضور و غیاب'!$B$5:$B$205,$A76,'حضور و غیاب'!$A$5:$A$205,"&gt;="&amp;'تنظیمات'!$B$5,'حضور و غیاب'!$A$5:$A$205,"&lt;="&amp;'تنظیمات'!$B$6)</x:f>
        <x:v>0</x:v>
      </x:c>
      <x:c r="H76" s="21" t="n">
        <x:f>ROUND(C76*D76,2)</x:f>
        <x:v>0</x:v>
      </x:c>
      <x:c r="I76" s="21" t="n">
        <x:f>ROUND(C76*E76*'تنظیمات'!$B$7,2)</x:f>
        <x:v>0</x:v>
      </x:c>
      <x:c r="J76" s="21" t="n">
        <x:f>ROUND(C76*F76,2)</x:f>
        <x:v>0</x:v>
      </x:c>
      <x:c r="K76" s="21" t="n">
        <x:f>ROUND((H76+I76+J76)*'تنظیمات'!$B$8,2)</x:f>
        <x:v>0</x:v>
      </x:c>
      <x:c r="L76" s="21" t="n">
        <x:f>SUM(H76:K76)</x:f>
        <x:v>0</x:v>
      </x:c>
      <x:c r="M76" s="21" t="n">
        <x:f>ROUND(MAX(0,L76-'تنظیمات'!$B$9)*'تنظیمات'!$B$10,2)</x:f>
        <x:v>0</x:v>
      </x:c>
      <x:c r="N76" s="21" t="n">
        <x:f>ROUND(MAX(0,L76*12-'تنظیمات'!$B$11)/12*'تنظیمات'!$B$12,2)</x:f>
        <x:v>0</x:v>
      </x:c>
      <x:c r="O76" s="21" t="n">
        <x:f>ROUND(L76*'تنظیمات'!$B$13,2)</x:f>
        <x:v>0</x:v>
      </x:c>
      <x:c r="P76" s="21" t="n">
        <x:f>ROUND((MIN(L76*12,'تنظیمات'!$B$17)*'تنظیمات'!$B$18+MAX(0,MIN(L76*12,'تنظیمات'!$B$19)-'تنظیمات'!$B$17)*'تنظیمات'!$B$20)/12,2)</x:f>
        <x:v>0</x:v>
      </x:c>
      <x:c r="Q76" s="21" t="n">
        <x:f>ROUND(MIN(L76*12,'تنظیمات'!$B$21)*'تنظیمات'!$B$22/12,2)</x:f>
        <x:v>0</x:v>
      </x:c>
      <x:c r="R76" s="21" t="n">
        <x:f>ROUND(MIN('تنظیمات'!$B$16,MAX(0,L76*12-'تنظیمات'!$B$14)*'تنظیمات'!$B$15)/12,2)</x:f>
        <x:v>0</x:v>
      </x:c>
      <x:c r="S76" s="21" t="n">
        <x:f>SUM(M76:R76)</x:f>
        <x:v>0</x:v>
      </x:c>
      <x:c r="T76" s="21" t="n">
        <x:f>L76-S76</x:f>
        <x:v>0</x:v>
      </x:c>
      <x:c r="U76" s="22" t="n">
        <x:f>'تنظیمات'!$B$5</x:f>
        <x:v>46266</x:v>
      </x:c>
      <x:c r="V76" s="22" t="n">
        <x:f>'تنظیمات'!$B$6</x:f>
        <x:v>46295</x:v>
      </x:c>
      <x:c r="W76" s="17" t="str">
        <x:f>IF(AND(A76&lt;&gt;"",T76&gt;=0),"OK","بررسی شود")</x:f>
        <x:v>بررسی شود</x:v>
      </x:c>
    </x:row>
    <x:row r="77">
      <x:c r="A77" s="13"/>
      <x:c r="B77" s="17" t="str">
        <x:f>IFERROR(VLOOKUP(A77,'کارمندان'!$A$5:$H$205,2,FALSE),"")</x:f>
      </x:c>
      <x:c r="C77" s="21" t="str">
        <x:f>IFERROR(VLOOKUP(A77,'کارمندان'!$A$5:$H$205,5,FALSE),0)</x:f>
      </x:c>
      <x:c r="D77" s="20" t="n">
        <x:f>SUMIFS('حضور و غیاب'!$J$5:$J$205,'حضور و غیاب'!$B$5:$B$205,$A77,'حضور و غیاب'!$A$5:$A$205,"&gt;="&amp;'تنظیمات'!$B$5,'حضور و غیاب'!$A$5:$A$205,"&lt;="&amp;'تنظیمات'!$B$6)</x:f>
        <x:v>0</x:v>
      </x:c>
      <x:c r="E77" s="20" t="n">
        <x:f>SUMIFS('حضور و غیاب'!$K$5:$K$205,'حضور و غیاب'!$B$5:$B$205,$A77,'حضور و غیاب'!$A$5:$A$205,"&gt;="&amp;'تنظیمات'!$B$5,'حضور و غیاب'!$A$5:$A$205,"&lt;="&amp;'تنظیمات'!$B$6)</x:f>
        <x:v>0</x:v>
      </x:c>
      <x:c r="F77" s="20" t="n">
        <x:f>SUMIFS('حضور و غیاب'!$G$5:$G$205,'حضور و غیاب'!$B$5:$B$205,$A77,'حضور و غیاب'!$F$5:$F$205,"Paid",'حضور و غیاب'!$A$5:$A$205,"&gt;="&amp;'تنظیمات'!$B$5,'حضور و غیاب'!$A$5:$A$205,"&lt;="&amp;'تنظیمات'!$B$6)</x:f>
        <x:v>0</x:v>
      </x:c>
      <x:c r="G77" s="20" t="n">
        <x:f>SUMIFS('حضور و غیاب'!$L$5:$L$205,'حضور و غیاب'!$B$5:$B$205,$A77,'حضور و غیاب'!$A$5:$A$205,"&gt;="&amp;'تنظیمات'!$B$5,'حضور و غیاب'!$A$5:$A$205,"&lt;="&amp;'تنظیمات'!$B$6)</x:f>
        <x:v>0</x:v>
      </x:c>
      <x:c r="H77" s="21" t="n">
        <x:f>ROUND(C77*D77,2)</x:f>
        <x:v>0</x:v>
      </x:c>
      <x:c r="I77" s="21" t="n">
        <x:f>ROUND(C77*E77*'تنظیمات'!$B$7,2)</x:f>
        <x:v>0</x:v>
      </x:c>
      <x:c r="J77" s="21" t="n">
        <x:f>ROUND(C77*F77,2)</x:f>
        <x:v>0</x:v>
      </x:c>
      <x:c r="K77" s="21" t="n">
        <x:f>ROUND((H77+I77+J77)*'تنظیمات'!$B$8,2)</x:f>
        <x:v>0</x:v>
      </x:c>
      <x:c r="L77" s="21" t="n">
        <x:f>SUM(H77:K77)</x:f>
        <x:v>0</x:v>
      </x:c>
      <x:c r="M77" s="21" t="n">
        <x:f>ROUND(MAX(0,L77-'تنظیمات'!$B$9)*'تنظیمات'!$B$10,2)</x:f>
        <x:v>0</x:v>
      </x:c>
      <x:c r="N77" s="21" t="n">
        <x:f>ROUND(MAX(0,L77*12-'تنظیمات'!$B$11)/12*'تنظیمات'!$B$12,2)</x:f>
        <x:v>0</x:v>
      </x:c>
      <x:c r="O77" s="21" t="n">
        <x:f>ROUND(L77*'تنظیمات'!$B$13,2)</x:f>
        <x:v>0</x:v>
      </x:c>
      <x:c r="P77" s="21" t="n">
        <x:f>ROUND((MIN(L77*12,'تنظیمات'!$B$17)*'تنظیمات'!$B$18+MAX(0,MIN(L77*12,'تنظیمات'!$B$19)-'تنظیمات'!$B$17)*'تنظیمات'!$B$20)/12,2)</x:f>
        <x:v>0</x:v>
      </x:c>
      <x:c r="Q77" s="21" t="n">
        <x:f>ROUND(MIN(L77*12,'تنظیمات'!$B$21)*'تنظیمات'!$B$22/12,2)</x:f>
        <x:v>0</x:v>
      </x:c>
      <x:c r="R77" s="21" t="n">
        <x:f>ROUND(MIN('تنظیمات'!$B$16,MAX(0,L77*12-'تنظیمات'!$B$14)*'تنظیمات'!$B$15)/12,2)</x:f>
        <x:v>0</x:v>
      </x:c>
      <x:c r="S77" s="21" t="n">
        <x:f>SUM(M77:R77)</x:f>
        <x:v>0</x:v>
      </x:c>
      <x:c r="T77" s="21" t="n">
        <x:f>L77-S77</x:f>
        <x:v>0</x:v>
      </x:c>
      <x:c r="U77" s="22" t="n">
        <x:f>'تنظیمات'!$B$5</x:f>
        <x:v>46266</x:v>
      </x:c>
      <x:c r="V77" s="22" t="n">
        <x:f>'تنظیمات'!$B$6</x:f>
        <x:v>46295</x:v>
      </x:c>
      <x:c r="W77" s="17" t="str">
        <x:f>IF(AND(A77&lt;&gt;"",T77&gt;=0),"OK","بررسی شود")</x:f>
        <x:v>بررسی شود</x:v>
      </x:c>
    </x:row>
    <x:row r="78">
      <x:c r="A78" s="13"/>
      <x:c r="B78" s="17" t="str">
        <x:f>IFERROR(VLOOKUP(A78,'کارمندان'!$A$5:$H$205,2,FALSE),"")</x:f>
      </x:c>
      <x:c r="C78" s="21" t="str">
        <x:f>IFERROR(VLOOKUP(A78,'کارمندان'!$A$5:$H$205,5,FALSE),0)</x:f>
      </x:c>
      <x:c r="D78" s="20" t="n">
        <x:f>SUMIFS('حضور و غیاب'!$J$5:$J$205,'حضور و غیاب'!$B$5:$B$205,$A78,'حضور و غیاب'!$A$5:$A$205,"&gt;="&amp;'تنظیمات'!$B$5,'حضور و غیاب'!$A$5:$A$205,"&lt;="&amp;'تنظیمات'!$B$6)</x:f>
        <x:v>0</x:v>
      </x:c>
      <x:c r="E78" s="20" t="n">
        <x:f>SUMIFS('حضور و غیاب'!$K$5:$K$205,'حضور و غیاب'!$B$5:$B$205,$A78,'حضور و غیاب'!$A$5:$A$205,"&gt;="&amp;'تنظیمات'!$B$5,'حضور و غیاب'!$A$5:$A$205,"&lt;="&amp;'تنظیمات'!$B$6)</x:f>
        <x:v>0</x:v>
      </x:c>
      <x:c r="F78" s="20" t="n">
        <x:f>SUMIFS('حضور و غیاب'!$G$5:$G$205,'حضور و غیاب'!$B$5:$B$205,$A78,'حضور و غیاب'!$F$5:$F$205,"Paid",'حضور و غیاب'!$A$5:$A$205,"&gt;="&amp;'تنظیمات'!$B$5,'حضور و غیاب'!$A$5:$A$205,"&lt;="&amp;'تنظیمات'!$B$6)</x:f>
        <x:v>0</x:v>
      </x:c>
      <x:c r="G78" s="20" t="n">
        <x:f>SUMIFS('حضور و غیاب'!$L$5:$L$205,'حضور و غیاب'!$B$5:$B$205,$A78,'حضور و غیاب'!$A$5:$A$205,"&gt;="&amp;'تنظیمات'!$B$5,'حضور و غیاب'!$A$5:$A$205,"&lt;="&amp;'تنظیمات'!$B$6)</x:f>
        <x:v>0</x:v>
      </x:c>
      <x:c r="H78" s="21" t="n">
        <x:f>ROUND(C78*D78,2)</x:f>
        <x:v>0</x:v>
      </x:c>
      <x:c r="I78" s="21" t="n">
        <x:f>ROUND(C78*E78*'تنظیمات'!$B$7,2)</x:f>
        <x:v>0</x:v>
      </x:c>
      <x:c r="J78" s="21" t="n">
        <x:f>ROUND(C78*F78,2)</x:f>
        <x:v>0</x:v>
      </x:c>
      <x:c r="K78" s="21" t="n">
        <x:f>ROUND((H78+I78+J78)*'تنظیمات'!$B$8,2)</x:f>
        <x:v>0</x:v>
      </x:c>
      <x:c r="L78" s="21" t="n">
        <x:f>SUM(H78:K78)</x:f>
        <x:v>0</x:v>
      </x:c>
      <x:c r="M78" s="21" t="n">
        <x:f>ROUND(MAX(0,L78-'تنظیمات'!$B$9)*'تنظیمات'!$B$10,2)</x:f>
        <x:v>0</x:v>
      </x:c>
      <x:c r="N78" s="21" t="n">
        <x:f>ROUND(MAX(0,L78*12-'تنظیمات'!$B$11)/12*'تنظیمات'!$B$12,2)</x:f>
        <x:v>0</x:v>
      </x:c>
      <x:c r="O78" s="21" t="n">
        <x:f>ROUND(L78*'تنظیمات'!$B$13,2)</x:f>
        <x:v>0</x:v>
      </x:c>
      <x:c r="P78" s="21" t="n">
        <x:f>ROUND((MIN(L78*12,'تنظیمات'!$B$17)*'تنظیمات'!$B$18+MAX(0,MIN(L78*12,'تنظیمات'!$B$19)-'تنظیمات'!$B$17)*'تنظیمات'!$B$20)/12,2)</x:f>
        <x:v>0</x:v>
      </x:c>
      <x:c r="Q78" s="21" t="n">
        <x:f>ROUND(MIN(L78*12,'تنظیمات'!$B$21)*'تنظیمات'!$B$22/12,2)</x:f>
        <x:v>0</x:v>
      </x:c>
      <x:c r="R78" s="21" t="n">
        <x:f>ROUND(MIN('تنظیمات'!$B$16,MAX(0,L78*12-'تنظیمات'!$B$14)*'تنظیمات'!$B$15)/12,2)</x:f>
        <x:v>0</x:v>
      </x:c>
      <x:c r="S78" s="21" t="n">
        <x:f>SUM(M78:R78)</x:f>
        <x:v>0</x:v>
      </x:c>
      <x:c r="T78" s="21" t="n">
        <x:f>L78-S78</x:f>
        <x:v>0</x:v>
      </x:c>
      <x:c r="U78" s="22" t="n">
        <x:f>'تنظیمات'!$B$5</x:f>
        <x:v>46266</x:v>
      </x:c>
      <x:c r="V78" s="22" t="n">
        <x:f>'تنظیمات'!$B$6</x:f>
        <x:v>46295</x:v>
      </x:c>
      <x:c r="W78" s="17" t="str">
        <x:f>IF(AND(A78&lt;&gt;"",T78&gt;=0),"OK","بررسی شود")</x:f>
        <x:v>بررسی شود</x:v>
      </x:c>
    </x:row>
    <x:row r="79">
      <x:c r="A79" s="13"/>
      <x:c r="B79" s="17" t="str">
        <x:f>IFERROR(VLOOKUP(A79,'کارمندان'!$A$5:$H$205,2,FALSE),"")</x:f>
      </x:c>
      <x:c r="C79" s="21" t="str">
        <x:f>IFERROR(VLOOKUP(A79,'کارمندان'!$A$5:$H$205,5,FALSE),0)</x:f>
      </x:c>
      <x:c r="D79" s="20" t="n">
        <x:f>SUMIFS('حضور و غیاب'!$J$5:$J$205,'حضور و غیاب'!$B$5:$B$205,$A79,'حضور و غیاب'!$A$5:$A$205,"&gt;="&amp;'تنظیمات'!$B$5,'حضور و غیاب'!$A$5:$A$205,"&lt;="&amp;'تنظیمات'!$B$6)</x:f>
        <x:v>0</x:v>
      </x:c>
      <x:c r="E79" s="20" t="n">
        <x:f>SUMIFS('حضور و غیاب'!$K$5:$K$205,'حضور و غیاب'!$B$5:$B$205,$A79,'حضور و غیاب'!$A$5:$A$205,"&gt;="&amp;'تنظیمات'!$B$5,'حضور و غیاب'!$A$5:$A$205,"&lt;="&amp;'تنظیمات'!$B$6)</x:f>
        <x:v>0</x:v>
      </x:c>
      <x:c r="F79" s="20" t="n">
        <x:f>SUMIFS('حضور و غیاب'!$G$5:$G$205,'حضور و غیاب'!$B$5:$B$205,$A79,'حضور و غیاب'!$F$5:$F$205,"Paid",'حضور و غیاب'!$A$5:$A$205,"&gt;="&amp;'تنظیمات'!$B$5,'حضور و غیاب'!$A$5:$A$205,"&lt;="&amp;'تنظیمات'!$B$6)</x:f>
        <x:v>0</x:v>
      </x:c>
      <x:c r="G79" s="20" t="n">
        <x:f>SUMIFS('حضور و غیاب'!$L$5:$L$205,'حضور و غیاب'!$B$5:$B$205,$A79,'حضور و غیاب'!$A$5:$A$205,"&gt;="&amp;'تنظیمات'!$B$5,'حضور و غیاب'!$A$5:$A$205,"&lt;="&amp;'تنظیمات'!$B$6)</x:f>
        <x:v>0</x:v>
      </x:c>
      <x:c r="H79" s="21" t="n">
        <x:f>ROUND(C79*D79,2)</x:f>
        <x:v>0</x:v>
      </x:c>
      <x:c r="I79" s="21" t="n">
        <x:f>ROUND(C79*E79*'تنظیمات'!$B$7,2)</x:f>
        <x:v>0</x:v>
      </x:c>
      <x:c r="J79" s="21" t="n">
        <x:f>ROUND(C79*F79,2)</x:f>
        <x:v>0</x:v>
      </x:c>
      <x:c r="K79" s="21" t="n">
        <x:f>ROUND((H79+I79+J79)*'تنظیمات'!$B$8,2)</x:f>
        <x:v>0</x:v>
      </x:c>
      <x:c r="L79" s="21" t="n">
        <x:f>SUM(H79:K79)</x:f>
        <x:v>0</x:v>
      </x:c>
      <x:c r="M79" s="21" t="n">
        <x:f>ROUND(MAX(0,L79-'تنظیمات'!$B$9)*'تنظیمات'!$B$10,2)</x:f>
        <x:v>0</x:v>
      </x:c>
      <x:c r="N79" s="21" t="n">
        <x:f>ROUND(MAX(0,L79*12-'تنظیمات'!$B$11)/12*'تنظیمات'!$B$12,2)</x:f>
        <x:v>0</x:v>
      </x:c>
      <x:c r="O79" s="21" t="n">
        <x:f>ROUND(L79*'تنظیمات'!$B$13,2)</x:f>
        <x:v>0</x:v>
      </x:c>
      <x:c r="P79" s="21" t="n">
        <x:f>ROUND((MIN(L79*12,'تنظیمات'!$B$17)*'تنظیمات'!$B$18+MAX(0,MIN(L79*12,'تنظیمات'!$B$19)-'تنظیمات'!$B$17)*'تنظیمات'!$B$20)/12,2)</x:f>
        <x:v>0</x:v>
      </x:c>
      <x:c r="Q79" s="21" t="n">
        <x:f>ROUND(MIN(L79*12,'تنظیمات'!$B$21)*'تنظیمات'!$B$22/12,2)</x:f>
        <x:v>0</x:v>
      </x:c>
      <x:c r="R79" s="21" t="n">
        <x:f>ROUND(MIN('تنظیمات'!$B$16,MAX(0,L79*12-'تنظیمات'!$B$14)*'تنظیمات'!$B$15)/12,2)</x:f>
        <x:v>0</x:v>
      </x:c>
      <x:c r="S79" s="21" t="n">
        <x:f>SUM(M79:R79)</x:f>
        <x:v>0</x:v>
      </x:c>
      <x:c r="T79" s="21" t="n">
        <x:f>L79-S79</x:f>
        <x:v>0</x:v>
      </x:c>
      <x:c r="U79" s="22" t="n">
        <x:f>'تنظیمات'!$B$5</x:f>
        <x:v>46266</x:v>
      </x:c>
      <x:c r="V79" s="22" t="n">
        <x:f>'تنظیمات'!$B$6</x:f>
        <x:v>46295</x:v>
      </x:c>
      <x:c r="W79" s="17" t="str">
        <x:f>IF(AND(A79&lt;&gt;"",T79&gt;=0),"OK","بررسی شود")</x:f>
        <x:v>بررسی شود</x:v>
      </x:c>
    </x:row>
    <x:row r="80">
      <x:c r="A80" s="13"/>
      <x:c r="B80" s="17" t="str">
        <x:f>IFERROR(VLOOKUP(A80,'کارمندان'!$A$5:$H$205,2,FALSE),"")</x:f>
      </x:c>
      <x:c r="C80" s="21" t="str">
        <x:f>IFERROR(VLOOKUP(A80,'کارمندان'!$A$5:$H$205,5,FALSE),0)</x:f>
      </x:c>
      <x:c r="D80" s="20" t="n">
        <x:f>SUMIFS('حضور و غیاب'!$J$5:$J$205,'حضور و غیاب'!$B$5:$B$205,$A80,'حضور و غیاب'!$A$5:$A$205,"&gt;="&amp;'تنظیمات'!$B$5,'حضور و غیاب'!$A$5:$A$205,"&lt;="&amp;'تنظیمات'!$B$6)</x:f>
        <x:v>0</x:v>
      </x:c>
      <x:c r="E80" s="20" t="n">
        <x:f>SUMIFS('حضور و غیاب'!$K$5:$K$205,'حضور و غیاب'!$B$5:$B$205,$A80,'حضور و غیاب'!$A$5:$A$205,"&gt;="&amp;'تنظیمات'!$B$5,'حضور و غیاب'!$A$5:$A$205,"&lt;="&amp;'تنظیمات'!$B$6)</x:f>
        <x:v>0</x:v>
      </x:c>
      <x:c r="F80" s="20" t="n">
        <x:f>SUMIFS('حضور و غیاب'!$G$5:$G$205,'حضور و غیاب'!$B$5:$B$205,$A80,'حضور و غیاب'!$F$5:$F$205,"Paid",'حضور و غیاب'!$A$5:$A$205,"&gt;="&amp;'تنظیمات'!$B$5,'حضور و غیاب'!$A$5:$A$205,"&lt;="&amp;'تنظیمات'!$B$6)</x:f>
        <x:v>0</x:v>
      </x:c>
      <x:c r="G80" s="20" t="n">
        <x:f>SUMIFS('حضور و غیاب'!$L$5:$L$205,'حضور و غیاب'!$B$5:$B$205,$A80,'حضور و غیاب'!$A$5:$A$205,"&gt;="&amp;'تنظیمات'!$B$5,'حضور و غیاب'!$A$5:$A$205,"&lt;="&amp;'تنظیمات'!$B$6)</x:f>
        <x:v>0</x:v>
      </x:c>
      <x:c r="H80" s="21" t="n">
        <x:f>ROUND(C80*D80,2)</x:f>
        <x:v>0</x:v>
      </x:c>
      <x:c r="I80" s="21" t="n">
        <x:f>ROUND(C80*E80*'تنظیمات'!$B$7,2)</x:f>
        <x:v>0</x:v>
      </x:c>
      <x:c r="J80" s="21" t="n">
        <x:f>ROUND(C80*F80,2)</x:f>
        <x:v>0</x:v>
      </x:c>
      <x:c r="K80" s="21" t="n">
        <x:f>ROUND((H80+I80+J80)*'تنظیمات'!$B$8,2)</x:f>
        <x:v>0</x:v>
      </x:c>
      <x:c r="L80" s="21" t="n">
        <x:f>SUM(H80:K80)</x:f>
        <x:v>0</x:v>
      </x:c>
      <x:c r="M80" s="21" t="n">
        <x:f>ROUND(MAX(0,L80-'تنظیمات'!$B$9)*'تنظیمات'!$B$10,2)</x:f>
        <x:v>0</x:v>
      </x:c>
      <x:c r="N80" s="21" t="n">
        <x:f>ROUND(MAX(0,L80*12-'تنظیمات'!$B$11)/12*'تنظیمات'!$B$12,2)</x:f>
        <x:v>0</x:v>
      </x:c>
      <x:c r="O80" s="21" t="n">
        <x:f>ROUND(L80*'تنظیمات'!$B$13,2)</x:f>
        <x:v>0</x:v>
      </x:c>
      <x:c r="P80" s="21" t="n">
        <x:f>ROUND((MIN(L80*12,'تنظیمات'!$B$17)*'تنظیمات'!$B$18+MAX(0,MIN(L80*12,'تنظیمات'!$B$19)-'تنظیمات'!$B$17)*'تنظیمات'!$B$20)/12,2)</x:f>
        <x:v>0</x:v>
      </x:c>
      <x:c r="Q80" s="21" t="n">
        <x:f>ROUND(MIN(L80*12,'تنظیمات'!$B$21)*'تنظیمات'!$B$22/12,2)</x:f>
        <x:v>0</x:v>
      </x:c>
      <x:c r="R80" s="21" t="n">
        <x:f>ROUND(MIN('تنظیمات'!$B$16,MAX(0,L80*12-'تنظیمات'!$B$14)*'تنظیمات'!$B$15)/12,2)</x:f>
        <x:v>0</x:v>
      </x:c>
      <x:c r="S80" s="21" t="n">
        <x:f>SUM(M80:R80)</x:f>
        <x:v>0</x:v>
      </x:c>
      <x:c r="T80" s="21" t="n">
        <x:f>L80-S80</x:f>
        <x:v>0</x:v>
      </x:c>
      <x:c r="U80" s="22" t="n">
        <x:f>'تنظیمات'!$B$5</x:f>
        <x:v>46266</x:v>
      </x:c>
      <x:c r="V80" s="22" t="n">
        <x:f>'تنظیمات'!$B$6</x:f>
        <x:v>46295</x:v>
      </x:c>
      <x:c r="W80" s="17" t="str">
        <x:f>IF(AND(A80&lt;&gt;"",T80&gt;=0),"OK","بررسی شود")</x:f>
        <x:v>بررسی شود</x:v>
      </x:c>
    </x:row>
    <x:row r="81">
      <x:c r="A81" s="13"/>
      <x:c r="B81" s="17" t="str">
        <x:f>IFERROR(VLOOKUP(A81,'کارمندان'!$A$5:$H$205,2,FALSE),"")</x:f>
      </x:c>
      <x:c r="C81" s="21" t="str">
        <x:f>IFERROR(VLOOKUP(A81,'کارمندان'!$A$5:$H$205,5,FALSE),0)</x:f>
      </x:c>
      <x:c r="D81" s="20" t="n">
        <x:f>SUMIFS('حضور و غیاب'!$J$5:$J$205,'حضور و غیاب'!$B$5:$B$205,$A81,'حضور و غیاب'!$A$5:$A$205,"&gt;="&amp;'تنظیمات'!$B$5,'حضور و غیاب'!$A$5:$A$205,"&lt;="&amp;'تنظیمات'!$B$6)</x:f>
        <x:v>0</x:v>
      </x:c>
      <x:c r="E81" s="20" t="n">
        <x:f>SUMIFS('حضور و غیاب'!$K$5:$K$205,'حضور و غیاب'!$B$5:$B$205,$A81,'حضور و غیاب'!$A$5:$A$205,"&gt;="&amp;'تنظیمات'!$B$5,'حضور و غیاب'!$A$5:$A$205,"&lt;="&amp;'تنظیمات'!$B$6)</x:f>
        <x:v>0</x:v>
      </x:c>
      <x:c r="F81" s="20" t="n">
        <x:f>SUMIFS('حضور و غیاب'!$G$5:$G$205,'حضور و غیاب'!$B$5:$B$205,$A81,'حضور و غیاب'!$F$5:$F$205,"Paid",'حضور و غیاب'!$A$5:$A$205,"&gt;="&amp;'تنظیمات'!$B$5,'حضور و غیاب'!$A$5:$A$205,"&lt;="&amp;'تنظیمات'!$B$6)</x:f>
        <x:v>0</x:v>
      </x:c>
      <x:c r="G81" s="20" t="n">
        <x:f>SUMIFS('حضور و غیاب'!$L$5:$L$205,'حضور و غیاب'!$B$5:$B$205,$A81,'حضور و غیاب'!$A$5:$A$205,"&gt;="&amp;'تنظیمات'!$B$5,'حضور و غیاب'!$A$5:$A$205,"&lt;="&amp;'تنظیمات'!$B$6)</x:f>
        <x:v>0</x:v>
      </x:c>
      <x:c r="H81" s="21" t="n">
        <x:f>ROUND(C81*D81,2)</x:f>
        <x:v>0</x:v>
      </x:c>
      <x:c r="I81" s="21" t="n">
        <x:f>ROUND(C81*E81*'تنظیمات'!$B$7,2)</x:f>
        <x:v>0</x:v>
      </x:c>
      <x:c r="J81" s="21" t="n">
        <x:f>ROUND(C81*F81,2)</x:f>
        <x:v>0</x:v>
      </x:c>
      <x:c r="K81" s="21" t="n">
        <x:f>ROUND((H81+I81+J81)*'تنظیمات'!$B$8,2)</x:f>
        <x:v>0</x:v>
      </x:c>
      <x:c r="L81" s="21" t="n">
        <x:f>SUM(H81:K81)</x:f>
        <x:v>0</x:v>
      </x:c>
      <x:c r="M81" s="21" t="n">
        <x:f>ROUND(MAX(0,L81-'تنظیمات'!$B$9)*'تنظیمات'!$B$10,2)</x:f>
        <x:v>0</x:v>
      </x:c>
      <x:c r="N81" s="21" t="n">
        <x:f>ROUND(MAX(0,L81*12-'تنظیمات'!$B$11)/12*'تنظیمات'!$B$12,2)</x:f>
        <x:v>0</x:v>
      </x:c>
      <x:c r="O81" s="21" t="n">
        <x:f>ROUND(L81*'تنظیمات'!$B$13,2)</x:f>
        <x:v>0</x:v>
      </x:c>
      <x:c r="P81" s="21" t="n">
        <x:f>ROUND((MIN(L81*12,'تنظیمات'!$B$17)*'تنظیمات'!$B$18+MAX(0,MIN(L81*12,'تنظیمات'!$B$19)-'تنظیمات'!$B$17)*'تنظیمات'!$B$20)/12,2)</x:f>
        <x:v>0</x:v>
      </x:c>
      <x:c r="Q81" s="21" t="n">
        <x:f>ROUND(MIN(L81*12,'تنظیمات'!$B$21)*'تنظیمات'!$B$22/12,2)</x:f>
        <x:v>0</x:v>
      </x:c>
      <x:c r="R81" s="21" t="n">
        <x:f>ROUND(MIN('تنظیمات'!$B$16,MAX(0,L81*12-'تنظیمات'!$B$14)*'تنظیمات'!$B$15)/12,2)</x:f>
        <x:v>0</x:v>
      </x:c>
      <x:c r="S81" s="21" t="n">
        <x:f>SUM(M81:R81)</x:f>
        <x:v>0</x:v>
      </x:c>
      <x:c r="T81" s="21" t="n">
        <x:f>L81-S81</x:f>
        <x:v>0</x:v>
      </x:c>
      <x:c r="U81" s="22" t="n">
        <x:f>'تنظیمات'!$B$5</x:f>
        <x:v>46266</x:v>
      </x:c>
      <x:c r="V81" s="22" t="n">
        <x:f>'تنظیمات'!$B$6</x:f>
        <x:v>46295</x:v>
      </x:c>
      <x:c r="W81" s="17" t="str">
        <x:f>IF(AND(A81&lt;&gt;"",T81&gt;=0),"OK","بررسی شود")</x:f>
        <x:v>بررسی شود</x:v>
      </x:c>
    </x:row>
    <x:row r="82">
      <x:c r="A82" s="13"/>
      <x:c r="B82" s="17" t="str">
        <x:f>IFERROR(VLOOKUP(A82,'کارمندان'!$A$5:$H$205,2,FALSE),"")</x:f>
      </x:c>
      <x:c r="C82" s="21" t="str">
        <x:f>IFERROR(VLOOKUP(A82,'کارمندان'!$A$5:$H$205,5,FALSE),0)</x:f>
      </x:c>
      <x:c r="D82" s="20" t="n">
        <x:f>SUMIFS('حضور و غیاب'!$J$5:$J$205,'حضور و غیاب'!$B$5:$B$205,$A82,'حضور و غیاب'!$A$5:$A$205,"&gt;="&amp;'تنظیمات'!$B$5,'حضور و غیاب'!$A$5:$A$205,"&lt;="&amp;'تنظیمات'!$B$6)</x:f>
        <x:v>0</x:v>
      </x:c>
      <x:c r="E82" s="20" t="n">
        <x:f>SUMIFS('حضور و غیاب'!$K$5:$K$205,'حضور و غیاب'!$B$5:$B$205,$A82,'حضور و غیاب'!$A$5:$A$205,"&gt;="&amp;'تنظیمات'!$B$5,'حضور و غیاب'!$A$5:$A$205,"&lt;="&amp;'تنظیمات'!$B$6)</x:f>
        <x:v>0</x:v>
      </x:c>
      <x:c r="F82" s="20" t="n">
        <x:f>SUMIFS('حضور و غیاب'!$G$5:$G$205,'حضور و غیاب'!$B$5:$B$205,$A82,'حضور و غیاب'!$F$5:$F$205,"Paid",'حضور و غیاب'!$A$5:$A$205,"&gt;="&amp;'تنظیمات'!$B$5,'حضور و غیاب'!$A$5:$A$205,"&lt;="&amp;'تنظیمات'!$B$6)</x:f>
        <x:v>0</x:v>
      </x:c>
      <x:c r="G82" s="20" t="n">
        <x:f>SUMIFS('حضور و غیاب'!$L$5:$L$205,'حضور و غیاب'!$B$5:$B$205,$A82,'حضور و غیاب'!$A$5:$A$205,"&gt;="&amp;'تنظیمات'!$B$5,'حضور و غیاب'!$A$5:$A$205,"&lt;="&amp;'تنظیمات'!$B$6)</x:f>
        <x:v>0</x:v>
      </x:c>
      <x:c r="H82" s="21" t="n">
        <x:f>ROUND(C82*D82,2)</x:f>
        <x:v>0</x:v>
      </x:c>
      <x:c r="I82" s="21" t="n">
        <x:f>ROUND(C82*E82*'تنظیمات'!$B$7,2)</x:f>
        <x:v>0</x:v>
      </x:c>
      <x:c r="J82" s="21" t="n">
        <x:f>ROUND(C82*F82,2)</x:f>
        <x:v>0</x:v>
      </x:c>
      <x:c r="K82" s="21" t="n">
        <x:f>ROUND((H82+I82+J82)*'تنظیمات'!$B$8,2)</x:f>
        <x:v>0</x:v>
      </x:c>
      <x:c r="L82" s="21" t="n">
        <x:f>SUM(H82:K82)</x:f>
        <x:v>0</x:v>
      </x:c>
      <x:c r="M82" s="21" t="n">
        <x:f>ROUND(MAX(0,L82-'تنظیمات'!$B$9)*'تنظیمات'!$B$10,2)</x:f>
        <x:v>0</x:v>
      </x:c>
      <x:c r="N82" s="21" t="n">
        <x:f>ROUND(MAX(0,L82*12-'تنظیمات'!$B$11)/12*'تنظیمات'!$B$12,2)</x:f>
        <x:v>0</x:v>
      </x:c>
      <x:c r="O82" s="21" t="n">
        <x:f>ROUND(L82*'تنظیمات'!$B$13,2)</x:f>
        <x:v>0</x:v>
      </x:c>
      <x:c r="P82" s="21" t="n">
        <x:f>ROUND((MIN(L82*12,'تنظیمات'!$B$17)*'تنظیمات'!$B$18+MAX(0,MIN(L82*12,'تنظیمات'!$B$19)-'تنظیمات'!$B$17)*'تنظیمات'!$B$20)/12,2)</x:f>
        <x:v>0</x:v>
      </x:c>
      <x:c r="Q82" s="21" t="n">
        <x:f>ROUND(MIN(L82*12,'تنظیمات'!$B$21)*'تنظیمات'!$B$22/12,2)</x:f>
        <x:v>0</x:v>
      </x:c>
      <x:c r="R82" s="21" t="n">
        <x:f>ROUND(MIN('تنظیمات'!$B$16,MAX(0,L82*12-'تنظیمات'!$B$14)*'تنظیمات'!$B$15)/12,2)</x:f>
        <x:v>0</x:v>
      </x:c>
      <x:c r="S82" s="21" t="n">
        <x:f>SUM(M82:R82)</x:f>
        <x:v>0</x:v>
      </x:c>
      <x:c r="T82" s="21" t="n">
        <x:f>L82-S82</x:f>
        <x:v>0</x:v>
      </x:c>
      <x:c r="U82" s="22" t="n">
        <x:f>'تنظیمات'!$B$5</x:f>
        <x:v>46266</x:v>
      </x:c>
      <x:c r="V82" s="22" t="n">
        <x:f>'تنظیمات'!$B$6</x:f>
        <x:v>46295</x:v>
      </x:c>
      <x:c r="W82" s="17" t="str">
        <x:f>IF(AND(A82&lt;&gt;"",T82&gt;=0),"OK","بررسی شود")</x:f>
        <x:v>بررسی شود</x:v>
      </x:c>
    </x:row>
    <x:row r="83">
      <x:c r="A83" s="13"/>
      <x:c r="B83" s="17" t="str">
        <x:f>IFERROR(VLOOKUP(A83,'کارمندان'!$A$5:$H$205,2,FALSE),"")</x:f>
      </x:c>
      <x:c r="C83" s="21" t="str">
        <x:f>IFERROR(VLOOKUP(A83,'کارمندان'!$A$5:$H$205,5,FALSE),0)</x:f>
      </x:c>
      <x:c r="D83" s="20" t="n">
        <x:f>SUMIFS('حضور و غیاب'!$J$5:$J$205,'حضور و غیاب'!$B$5:$B$205,$A83,'حضور و غیاب'!$A$5:$A$205,"&gt;="&amp;'تنظیمات'!$B$5,'حضور و غیاب'!$A$5:$A$205,"&lt;="&amp;'تنظیمات'!$B$6)</x:f>
        <x:v>0</x:v>
      </x:c>
      <x:c r="E83" s="20" t="n">
        <x:f>SUMIFS('حضور و غیاب'!$K$5:$K$205,'حضور و غیاب'!$B$5:$B$205,$A83,'حضور و غیاب'!$A$5:$A$205,"&gt;="&amp;'تنظیمات'!$B$5,'حضور و غیاب'!$A$5:$A$205,"&lt;="&amp;'تنظیمات'!$B$6)</x:f>
        <x:v>0</x:v>
      </x:c>
      <x:c r="F83" s="20" t="n">
        <x:f>SUMIFS('حضور و غیاب'!$G$5:$G$205,'حضور و غیاب'!$B$5:$B$205,$A83,'حضور و غیاب'!$F$5:$F$205,"Paid",'حضور و غیاب'!$A$5:$A$205,"&gt;="&amp;'تنظیمات'!$B$5,'حضور و غیاب'!$A$5:$A$205,"&lt;="&amp;'تنظیمات'!$B$6)</x:f>
        <x:v>0</x:v>
      </x:c>
      <x:c r="G83" s="20" t="n">
        <x:f>SUMIFS('حضور و غیاب'!$L$5:$L$205,'حضور و غیاب'!$B$5:$B$205,$A83,'حضور و غیاب'!$A$5:$A$205,"&gt;="&amp;'تنظیمات'!$B$5,'حضور و غیاب'!$A$5:$A$205,"&lt;="&amp;'تنظیمات'!$B$6)</x:f>
        <x:v>0</x:v>
      </x:c>
      <x:c r="H83" s="21" t="n">
        <x:f>ROUND(C83*D83,2)</x:f>
        <x:v>0</x:v>
      </x:c>
      <x:c r="I83" s="21" t="n">
        <x:f>ROUND(C83*E83*'تنظیمات'!$B$7,2)</x:f>
        <x:v>0</x:v>
      </x:c>
      <x:c r="J83" s="21" t="n">
        <x:f>ROUND(C83*F83,2)</x:f>
        <x:v>0</x:v>
      </x:c>
      <x:c r="K83" s="21" t="n">
        <x:f>ROUND((H83+I83+J83)*'تنظیمات'!$B$8,2)</x:f>
        <x:v>0</x:v>
      </x:c>
      <x:c r="L83" s="21" t="n">
        <x:f>SUM(H83:K83)</x:f>
        <x:v>0</x:v>
      </x:c>
      <x:c r="M83" s="21" t="n">
        <x:f>ROUND(MAX(0,L83-'تنظیمات'!$B$9)*'تنظیمات'!$B$10,2)</x:f>
        <x:v>0</x:v>
      </x:c>
      <x:c r="N83" s="21" t="n">
        <x:f>ROUND(MAX(0,L83*12-'تنظیمات'!$B$11)/12*'تنظیمات'!$B$12,2)</x:f>
        <x:v>0</x:v>
      </x:c>
      <x:c r="O83" s="21" t="n">
        <x:f>ROUND(L83*'تنظیمات'!$B$13,2)</x:f>
        <x:v>0</x:v>
      </x:c>
      <x:c r="P83" s="21" t="n">
        <x:f>ROUND((MIN(L83*12,'تنظیمات'!$B$17)*'تنظیمات'!$B$18+MAX(0,MIN(L83*12,'تنظیمات'!$B$19)-'تنظیمات'!$B$17)*'تنظیمات'!$B$20)/12,2)</x:f>
        <x:v>0</x:v>
      </x:c>
      <x:c r="Q83" s="21" t="n">
        <x:f>ROUND(MIN(L83*12,'تنظیمات'!$B$21)*'تنظیمات'!$B$22/12,2)</x:f>
        <x:v>0</x:v>
      </x:c>
      <x:c r="R83" s="21" t="n">
        <x:f>ROUND(MIN('تنظیمات'!$B$16,MAX(0,L83*12-'تنظیمات'!$B$14)*'تنظیمات'!$B$15)/12,2)</x:f>
        <x:v>0</x:v>
      </x:c>
      <x:c r="S83" s="21" t="n">
        <x:f>SUM(M83:R83)</x:f>
        <x:v>0</x:v>
      </x:c>
      <x:c r="T83" s="21" t="n">
        <x:f>L83-S83</x:f>
        <x:v>0</x:v>
      </x:c>
      <x:c r="U83" s="22" t="n">
        <x:f>'تنظیمات'!$B$5</x:f>
        <x:v>46266</x:v>
      </x:c>
      <x:c r="V83" s="22" t="n">
        <x:f>'تنظیمات'!$B$6</x:f>
        <x:v>46295</x:v>
      </x:c>
      <x:c r="W83" s="17" t="str">
        <x:f>IF(AND(A83&lt;&gt;"",T83&gt;=0),"OK","بررسی شود")</x:f>
        <x:v>بررسی شود</x:v>
      </x:c>
    </x:row>
    <x:row r="84">
      <x:c r="A84" s="13"/>
      <x:c r="B84" s="17" t="str">
        <x:f>IFERROR(VLOOKUP(A84,'کارمندان'!$A$5:$H$205,2,FALSE),"")</x:f>
      </x:c>
      <x:c r="C84" s="21" t="str">
        <x:f>IFERROR(VLOOKUP(A84,'کارمندان'!$A$5:$H$205,5,FALSE),0)</x:f>
      </x:c>
      <x:c r="D84" s="20" t="n">
        <x:f>SUMIFS('حضور و غیاب'!$J$5:$J$205,'حضور و غیاب'!$B$5:$B$205,$A84,'حضور و غیاب'!$A$5:$A$205,"&gt;="&amp;'تنظیمات'!$B$5,'حضور و غیاب'!$A$5:$A$205,"&lt;="&amp;'تنظیمات'!$B$6)</x:f>
        <x:v>0</x:v>
      </x:c>
      <x:c r="E84" s="20" t="n">
        <x:f>SUMIFS('حضور و غیاب'!$K$5:$K$205,'حضور و غیاب'!$B$5:$B$205,$A84,'حضور و غیاب'!$A$5:$A$205,"&gt;="&amp;'تنظیمات'!$B$5,'حضور و غیاب'!$A$5:$A$205,"&lt;="&amp;'تنظیمات'!$B$6)</x:f>
        <x:v>0</x:v>
      </x:c>
      <x:c r="F84" s="20" t="n">
        <x:f>SUMIFS('حضور و غیاب'!$G$5:$G$205,'حضور و غیاب'!$B$5:$B$205,$A84,'حضور و غیاب'!$F$5:$F$205,"Paid",'حضور و غیاب'!$A$5:$A$205,"&gt;="&amp;'تنظیمات'!$B$5,'حضور و غیاب'!$A$5:$A$205,"&lt;="&amp;'تنظیمات'!$B$6)</x:f>
        <x:v>0</x:v>
      </x:c>
      <x:c r="G84" s="20" t="n">
        <x:f>SUMIFS('حضور و غیاب'!$L$5:$L$205,'حضور و غیاب'!$B$5:$B$205,$A84,'حضور و غیاب'!$A$5:$A$205,"&gt;="&amp;'تنظیمات'!$B$5,'حضور و غیاب'!$A$5:$A$205,"&lt;="&amp;'تنظیمات'!$B$6)</x:f>
        <x:v>0</x:v>
      </x:c>
      <x:c r="H84" s="21" t="n">
        <x:f>ROUND(C84*D84,2)</x:f>
        <x:v>0</x:v>
      </x:c>
      <x:c r="I84" s="21" t="n">
        <x:f>ROUND(C84*E84*'تنظیمات'!$B$7,2)</x:f>
        <x:v>0</x:v>
      </x:c>
      <x:c r="J84" s="21" t="n">
        <x:f>ROUND(C84*F84,2)</x:f>
        <x:v>0</x:v>
      </x:c>
      <x:c r="K84" s="21" t="n">
        <x:f>ROUND((H84+I84+J84)*'تنظیمات'!$B$8,2)</x:f>
        <x:v>0</x:v>
      </x:c>
      <x:c r="L84" s="21" t="n">
        <x:f>SUM(H84:K84)</x:f>
        <x:v>0</x:v>
      </x:c>
      <x:c r="M84" s="21" t="n">
        <x:f>ROUND(MAX(0,L84-'تنظیمات'!$B$9)*'تنظیمات'!$B$10,2)</x:f>
        <x:v>0</x:v>
      </x:c>
      <x:c r="N84" s="21" t="n">
        <x:f>ROUND(MAX(0,L84*12-'تنظیمات'!$B$11)/12*'تنظیمات'!$B$12,2)</x:f>
        <x:v>0</x:v>
      </x:c>
      <x:c r="O84" s="21" t="n">
        <x:f>ROUND(L84*'تنظیمات'!$B$13,2)</x:f>
        <x:v>0</x:v>
      </x:c>
      <x:c r="P84" s="21" t="n">
        <x:f>ROUND((MIN(L84*12,'تنظیمات'!$B$17)*'تنظیمات'!$B$18+MAX(0,MIN(L84*12,'تنظیمات'!$B$19)-'تنظیمات'!$B$17)*'تنظیمات'!$B$20)/12,2)</x:f>
        <x:v>0</x:v>
      </x:c>
      <x:c r="Q84" s="21" t="n">
        <x:f>ROUND(MIN(L84*12,'تنظیمات'!$B$21)*'تنظیمات'!$B$22/12,2)</x:f>
        <x:v>0</x:v>
      </x:c>
      <x:c r="R84" s="21" t="n">
        <x:f>ROUND(MIN('تنظیمات'!$B$16,MAX(0,L84*12-'تنظیمات'!$B$14)*'تنظیمات'!$B$15)/12,2)</x:f>
        <x:v>0</x:v>
      </x:c>
      <x:c r="S84" s="21" t="n">
        <x:f>SUM(M84:R84)</x:f>
        <x:v>0</x:v>
      </x:c>
      <x:c r="T84" s="21" t="n">
        <x:f>L84-S84</x:f>
        <x:v>0</x:v>
      </x:c>
      <x:c r="U84" s="22" t="n">
        <x:f>'تنظیمات'!$B$5</x:f>
        <x:v>46266</x:v>
      </x:c>
      <x:c r="V84" s="22" t="n">
        <x:f>'تنظیمات'!$B$6</x:f>
        <x:v>46295</x:v>
      </x:c>
      <x:c r="W84" s="17" t="str">
        <x:f>IF(AND(A84&lt;&gt;"",T84&gt;=0),"OK","بررسی شود")</x:f>
        <x:v>بررسی شود</x:v>
      </x:c>
    </x:row>
    <x:row r="85">
      <x:c r="A85" s="13"/>
      <x:c r="B85" s="17" t="str">
        <x:f>IFERROR(VLOOKUP(A85,'کارمندان'!$A$5:$H$205,2,FALSE),"")</x:f>
      </x:c>
      <x:c r="C85" s="21" t="str">
        <x:f>IFERROR(VLOOKUP(A85,'کارمندان'!$A$5:$H$205,5,FALSE),0)</x:f>
      </x:c>
      <x:c r="D85" s="20" t="n">
        <x:f>SUMIFS('حضور و غیاب'!$J$5:$J$205,'حضور و غیاب'!$B$5:$B$205,$A85,'حضور و غیاب'!$A$5:$A$205,"&gt;="&amp;'تنظیمات'!$B$5,'حضور و غیاب'!$A$5:$A$205,"&lt;="&amp;'تنظیمات'!$B$6)</x:f>
        <x:v>0</x:v>
      </x:c>
      <x:c r="E85" s="20" t="n">
        <x:f>SUMIFS('حضور و غیاب'!$K$5:$K$205,'حضور و غیاب'!$B$5:$B$205,$A85,'حضور و غیاب'!$A$5:$A$205,"&gt;="&amp;'تنظیمات'!$B$5,'حضور و غیاب'!$A$5:$A$205,"&lt;="&amp;'تنظیمات'!$B$6)</x:f>
        <x:v>0</x:v>
      </x:c>
      <x:c r="F85" s="20" t="n">
        <x:f>SUMIFS('حضور و غیاب'!$G$5:$G$205,'حضور و غیاب'!$B$5:$B$205,$A85,'حضور و غیاب'!$F$5:$F$205,"Paid",'حضور و غیاب'!$A$5:$A$205,"&gt;="&amp;'تنظیمات'!$B$5,'حضور و غیاب'!$A$5:$A$205,"&lt;="&amp;'تنظیمات'!$B$6)</x:f>
        <x:v>0</x:v>
      </x:c>
      <x:c r="G85" s="20" t="n">
        <x:f>SUMIFS('حضور و غیاب'!$L$5:$L$205,'حضور و غیاب'!$B$5:$B$205,$A85,'حضور و غیاب'!$A$5:$A$205,"&gt;="&amp;'تنظیمات'!$B$5,'حضور و غیاب'!$A$5:$A$205,"&lt;="&amp;'تنظیمات'!$B$6)</x:f>
        <x:v>0</x:v>
      </x:c>
      <x:c r="H85" s="21" t="n">
        <x:f>ROUND(C85*D85,2)</x:f>
        <x:v>0</x:v>
      </x:c>
      <x:c r="I85" s="21" t="n">
        <x:f>ROUND(C85*E85*'تنظیمات'!$B$7,2)</x:f>
        <x:v>0</x:v>
      </x:c>
      <x:c r="J85" s="21" t="n">
        <x:f>ROUND(C85*F85,2)</x:f>
        <x:v>0</x:v>
      </x:c>
      <x:c r="K85" s="21" t="n">
        <x:f>ROUND((H85+I85+J85)*'تنظیمات'!$B$8,2)</x:f>
        <x:v>0</x:v>
      </x:c>
      <x:c r="L85" s="21" t="n">
        <x:f>SUM(H85:K85)</x:f>
        <x:v>0</x:v>
      </x:c>
      <x:c r="M85" s="21" t="n">
        <x:f>ROUND(MAX(0,L85-'تنظیمات'!$B$9)*'تنظیمات'!$B$10,2)</x:f>
        <x:v>0</x:v>
      </x:c>
      <x:c r="N85" s="21" t="n">
        <x:f>ROUND(MAX(0,L85*12-'تنظیمات'!$B$11)/12*'تنظیمات'!$B$12,2)</x:f>
        <x:v>0</x:v>
      </x:c>
      <x:c r="O85" s="21" t="n">
        <x:f>ROUND(L85*'تنظیمات'!$B$13,2)</x:f>
        <x:v>0</x:v>
      </x:c>
      <x:c r="P85" s="21" t="n">
        <x:f>ROUND((MIN(L85*12,'تنظیمات'!$B$17)*'تنظیمات'!$B$18+MAX(0,MIN(L85*12,'تنظیمات'!$B$19)-'تنظیمات'!$B$17)*'تنظیمات'!$B$20)/12,2)</x:f>
        <x:v>0</x:v>
      </x:c>
      <x:c r="Q85" s="21" t="n">
        <x:f>ROUND(MIN(L85*12,'تنظیمات'!$B$21)*'تنظیمات'!$B$22/12,2)</x:f>
        <x:v>0</x:v>
      </x:c>
      <x:c r="R85" s="21" t="n">
        <x:f>ROUND(MIN('تنظیمات'!$B$16,MAX(0,L85*12-'تنظیمات'!$B$14)*'تنظیمات'!$B$15)/12,2)</x:f>
        <x:v>0</x:v>
      </x:c>
      <x:c r="S85" s="21" t="n">
        <x:f>SUM(M85:R85)</x:f>
        <x:v>0</x:v>
      </x:c>
      <x:c r="T85" s="21" t="n">
        <x:f>L85-S85</x:f>
        <x:v>0</x:v>
      </x:c>
      <x:c r="U85" s="22" t="n">
        <x:f>'تنظیمات'!$B$5</x:f>
        <x:v>46266</x:v>
      </x:c>
      <x:c r="V85" s="22" t="n">
        <x:f>'تنظیمات'!$B$6</x:f>
        <x:v>46295</x:v>
      </x:c>
      <x:c r="W85" s="17" t="str">
        <x:f>IF(AND(A85&lt;&gt;"",T85&gt;=0),"OK","بررسی شود")</x:f>
        <x:v>بررسی شود</x:v>
      </x:c>
    </x:row>
    <x:row r="86">
      <x:c r="A86" s="13"/>
      <x:c r="B86" s="17" t="str">
        <x:f>IFERROR(VLOOKUP(A86,'کارمندان'!$A$5:$H$205,2,FALSE),"")</x:f>
      </x:c>
      <x:c r="C86" s="21" t="str">
        <x:f>IFERROR(VLOOKUP(A86,'کارمندان'!$A$5:$H$205,5,FALSE),0)</x:f>
      </x:c>
      <x:c r="D86" s="20" t="n">
        <x:f>SUMIFS('حضور و غیاب'!$J$5:$J$205,'حضور و غیاب'!$B$5:$B$205,$A86,'حضور و غیاب'!$A$5:$A$205,"&gt;="&amp;'تنظیمات'!$B$5,'حضور و غیاب'!$A$5:$A$205,"&lt;="&amp;'تنظیمات'!$B$6)</x:f>
        <x:v>0</x:v>
      </x:c>
      <x:c r="E86" s="20" t="n">
        <x:f>SUMIFS('حضور و غیاب'!$K$5:$K$205,'حضور و غیاب'!$B$5:$B$205,$A86,'حضور و غیاب'!$A$5:$A$205,"&gt;="&amp;'تنظیمات'!$B$5,'حضور و غیاب'!$A$5:$A$205,"&lt;="&amp;'تنظیمات'!$B$6)</x:f>
        <x:v>0</x:v>
      </x:c>
      <x:c r="F86" s="20" t="n">
        <x:f>SUMIFS('حضور و غیاب'!$G$5:$G$205,'حضور و غیاب'!$B$5:$B$205,$A86,'حضور و غیاب'!$F$5:$F$205,"Paid",'حضور و غیاب'!$A$5:$A$205,"&gt;="&amp;'تنظیمات'!$B$5,'حضور و غیاب'!$A$5:$A$205,"&lt;="&amp;'تنظیمات'!$B$6)</x:f>
        <x:v>0</x:v>
      </x:c>
      <x:c r="G86" s="20" t="n">
        <x:f>SUMIFS('حضور و غیاب'!$L$5:$L$205,'حضور و غیاب'!$B$5:$B$205,$A86,'حضور و غیاب'!$A$5:$A$205,"&gt;="&amp;'تنظیمات'!$B$5,'حضور و غیاب'!$A$5:$A$205,"&lt;="&amp;'تنظیمات'!$B$6)</x:f>
        <x:v>0</x:v>
      </x:c>
      <x:c r="H86" s="21" t="n">
        <x:f>ROUND(C86*D86,2)</x:f>
        <x:v>0</x:v>
      </x:c>
      <x:c r="I86" s="21" t="n">
        <x:f>ROUND(C86*E86*'تنظیمات'!$B$7,2)</x:f>
        <x:v>0</x:v>
      </x:c>
      <x:c r="J86" s="21" t="n">
        <x:f>ROUND(C86*F86,2)</x:f>
        <x:v>0</x:v>
      </x:c>
      <x:c r="K86" s="21" t="n">
        <x:f>ROUND((H86+I86+J86)*'تنظیمات'!$B$8,2)</x:f>
        <x:v>0</x:v>
      </x:c>
      <x:c r="L86" s="21" t="n">
        <x:f>SUM(H86:K86)</x:f>
        <x:v>0</x:v>
      </x:c>
      <x:c r="M86" s="21" t="n">
        <x:f>ROUND(MAX(0,L86-'تنظیمات'!$B$9)*'تنظیمات'!$B$10,2)</x:f>
        <x:v>0</x:v>
      </x:c>
      <x:c r="N86" s="21" t="n">
        <x:f>ROUND(MAX(0,L86*12-'تنظیمات'!$B$11)/12*'تنظیمات'!$B$12,2)</x:f>
        <x:v>0</x:v>
      </x:c>
      <x:c r="O86" s="21" t="n">
        <x:f>ROUND(L86*'تنظیمات'!$B$13,2)</x:f>
        <x:v>0</x:v>
      </x:c>
      <x:c r="P86" s="21" t="n">
        <x:f>ROUND((MIN(L86*12,'تنظیمات'!$B$17)*'تنظیمات'!$B$18+MAX(0,MIN(L86*12,'تنظیمات'!$B$19)-'تنظیمات'!$B$17)*'تنظیمات'!$B$20)/12,2)</x:f>
        <x:v>0</x:v>
      </x:c>
      <x:c r="Q86" s="21" t="n">
        <x:f>ROUND(MIN(L86*12,'تنظیمات'!$B$21)*'تنظیمات'!$B$22/12,2)</x:f>
        <x:v>0</x:v>
      </x:c>
      <x:c r="R86" s="21" t="n">
        <x:f>ROUND(MIN('تنظیمات'!$B$16,MAX(0,L86*12-'تنظیمات'!$B$14)*'تنظیمات'!$B$15)/12,2)</x:f>
        <x:v>0</x:v>
      </x:c>
      <x:c r="S86" s="21" t="n">
        <x:f>SUM(M86:R86)</x:f>
        <x:v>0</x:v>
      </x:c>
      <x:c r="T86" s="21" t="n">
        <x:f>L86-S86</x:f>
        <x:v>0</x:v>
      </x:c>
      <x:c r="U86" s="22" t="n">
        <x:f>'تنظیمات'!$B$5</x:f>
        <x:v>46266</x:v>
      </x:c>
      <x:c r="V86" s="22" t="n">
        <x:f>'تنظیمات'!$B$6</x:f>
        <x:v>46295</x:v>
      </x:c>
      <x:c r="W86" s="17" t="str">
        <x:f>IF(AND(A86&lt;&gt;"",T86&gt;=0),"OK","بررسی شود")</x:f>
        <x:v>بررسی شود</x:v>
      </x:c>
    </x:row>
    <x:row r="87">
      <x:c r="A87" s="13"/>
      <x:c r="B87" s="17" t="str">
        <x:f>IFERROR(VLOOKUP(A87,'کارمندان'!$A$5:$H$205,2,FALSE),"")</x:f>
      </x:c>
      <x:c r="C87" s="21" t="str">
        <x:f>IFERROR(VLOOKUP(A87,'کارمندان'!$A$5:$H$205,5,FALSE),0)</x:f>
      </x:c>
      <x:c r="D87" s="20" t="n">
        <x:f>SUMIFS('حضور و غیاب'!$J$5:$J$205,'حضور و غیاب'!$B$5:$B$205,$A87,'حضور و غیاب'!$A$5:$A$205,"&gt;="&amp;'تنظیمات'!$B$5,'حضور و غیاب'!$A$5:$A$205,"&lt;="&amp;'تنظیمات'!$B$6)</x:f>
        <x:v>0</x:v>
      </x:c>
      <x:c r="E87" s="20" t="n">
        <x:f>SUMIFS('حضور و غیاب'!$K$5:$K$205,'حضور و غیاب'!$B$5:$B$205,$A87,'حضور و غیاب'!$A$5:$A$205,"&gt;="&amp;'تنظیمات'!$B$5,'حضور و غیاب'!$A$5:$A$205,"&lt;="&amp;'تنظیمات'!$B$6)</x:f>
        <x:v>0</x:v>
      </x:c>
      <x:c r="F87" s="20" t="n">
        <x:f>SUMIFS('حضور و غیاب'!$G$5:$G$205,'حضور و غیاب'!$B$5:$B$205,$A87,'حضور و غیاب'!$F$5:$F$205,"Paid",'حضور و غیاب'!$A$5:$A$205,"&gt;="&amp;'تنظیمات'!$B$5,'حضور و غیاب'!$A$5:$A$205,"&lt;="&amp;'تنظیمات'!$B$6)</x:f>
        <x:v>0</x:v>
      </x:c>
      <x:c r="G87" s="20" t="n">
        <x:f>SUMIFS('حضور و غیاب'!$L$5:$L$205,'حضور و غیاب'!$B$5:$B$205,$A87,'حضور و غیاب'!$A$5:$A$205,"&gt;="&amp;'تنظیمات'!$B$5,'حضور و غیاب'!$A$5:$A$205,"&lt;="&amp;'تنظیمات'!$B$6)</x:f>
        <x:v>0</x:v>
      </x:c>
      <x:c r="H87" s="21" t="n">
        <x:f>ROUND(C87*D87,2)</x:f>
        <x:v>0</x:v>
      </x:c>
      <x:c r="I87" s="21" t="n">
        <x:f>ROUND(C87*E87*'تنظیمات'!$B$7,2)</x:f>
        <x:v>0</x:v>
      </x:c>
      <x:c r="J87" s="21" t="n">
        <x:f>ROUND(C87*F87,2)</x:f>
        <x:v>0</x:v>
      </x:c>
      <x:c r="K87" s="21" t="n">
        <x:f>ROUND((H87+I87+J87)*'تنظیمات'!$B$8,2)</x:f>
        <x:v>0</x:v>
      </x:c>
      <x:c r="L87" s="21" t="n">
        <x:f>SUM(H87:K87)</x:f>
        <x:v>0</x:v>
      </x:c>
      <x:c r="M87" s="21" t="n">
        <x:f>ROUND(MAX(0,L87-'تنظیمات'!$B$9)*'تنظیمات'!$B$10,2)</x:f>
        <x:v>0</x:v>
      </x:c>
      <x:c r="N87" s="21" t="n">
        <x:f>ROUND(MAX(0,L87*12-'تنظیمات'!$B$11)/12*'تنظیمات'!$B$12,2)</x:f>
        <x:v>0</x:v>
      </x:c>
      <x:c r="O87" s="21" t="n">
        <x:f>ROUND(L87*'تنظیمات'!$B$13,2)</x:f>
        <x:v>0</x:v>
      </x:c>
      <x:c r="P87" s="21" t="n">
        <x:f>ROUND((MIN(L87*12,'تنظیمات'!$B$17)*'تنظیمات'!$B$18+MAX(0,MIN(L87*12,'تنظیمات'!$B$19)-'تنظیمات'!$B$17)*'تنظیمات'!$B$20)/12,2)</x:f>
        <x:v>0</x:v>
      </x:c>
      <x:c r="Q87" s="21" t="n">
        <x:f>ROUND(MIN(L87*12,'تنظیمات'!$B$21)*'تنظیمات'!$B$22/12,2)</x:f>
        <x:v>0</x:v>
      </x:c>
      <x:c r="R87" s="21" t="n">
        <x:f>ROUND(MIN('تنظیمات'!$B$16,MAX(0,L87*12-'تنظیمات'!$B$14)*'تنظیمات'!$B$15)/12,2)</x:f>
        <x:v>0</x:v>
      </x:c>
      <x:c r="S87" s="21" t="n">
        <x:f>SUM(M87:R87)</x:f>
        <x:v>0</x:v>
      </x:c>
      <x:c r="T87" s="21" t="n">
        <x:f>L87-S87</x:f>
        <x:v>0</x:v>
      </x:c>
      <x:c r="U87" s="22" t="n">
        <x:f>'تنظیمات'!$B$5</x:f>
        <x:v>46266</x:v>
      </x:c>
      <x:c r="V87" s="22" t="n">
        <x:f>'تنظیمات'!$B$6</x:f>
        <x:v>46295</x:v>
      </x:c>
      <x:c r="W87" s="17" t="str">
        <x:f>IF(AND(A87&lt;&gt;"",T87&gt;=0),"OK","بررسی شود")</x:f>
        <x:v>بررسی شود</x:v>
      </x:c>
    </x:row>
    <x:row r="88">
      <x:c r="A88" s="13"/>
      <x:c r="B88" s="17" t="str">
        <x:f>IFERROR(VLOOKUP(A88,'کارمندان'!$A$5:$H$205,2,FALSE),"")</x:f>
      </x:c>
      <x:c r="C88" s="21" t="str">
        <x:f>IFERROR(VLOOKUP(A88,'کارمندان'!$A$5:$H$205,5,FALSE),0)</x:f>
      </x:c>
      <x:c r="D88" s="20" t="n">
        <x:f>SUMIFS('حضور و غیاب'!$J$5:$J$205,'حضور و غیاب'!$B$5:$B$205,$A88,'حضور و غیاب'!$A$5:$A$205,"&gt;="&amp;'تنظیمات'!$B$5,'حضور و غیاب'!$A$5:$A$205,"&lt;="&amp;'تنظیمات'!$B$6)</x:f>
        <x:v>0</x:v>
      </x:c>
      <x:c r="E88" s="20" t="n">
        <x:f>SUMIFS('حضور و غیاب'!$K$5:$K$205,'حضور و غیاب'!$B$5:$B$205,$A88,'حضور و غیاب'!$A$5:$A$205,"&gt;="&amp;'تنظیمات'!$B$5,'حضور و غیاب'!$A$5:$A$205,"&lt;="&amp;'تنظیمات'!$B$6)</x:f>
        <x:v>0</x:v>
      </x:c>
      <x:c r="F88" s="20" t="n">
        <x:f>SUMIFS('حضور و غیاب'!$G$5:$G$205,'حضور و غیاب'!$B$5:$B$205,$A88,'حضور و غیاب'!$F$5:$F$205,"Paid",'حضور و غیاب'!$A$5:$A$205,"&gt;="&amp;'تنظیمات'!$B$5,'حضور و غیاب'!$A$5:$A$205,"&lt;="&amp;'تنظیمات'!$B$6)</x:f>
        <x:v>0</x:v>
      </x:c>
      <x:c r="G88" s="20" t="n">
        <x:f>SUMIFS('حضور و غیاب'!$L$5:$L$205,'حضور و غیاب'!$B$5:$B$205,$A88,'حضور و غیاب'!$A$5:$A$205,"&gt;="&amp;'تنظیمات'!$B$5,'حضور و غیاب'!$A$5:$A$205,"&lt;="&amp;'تنظیمات'!$B$6)</x:f>
        <x:v>0</x:v>
      </x:c>
      <x:c r="H88" s="21" t="n">
        <x:f>ROUND(C88*D88,2)</x:f>
        <x:v>0</x:v>
      </x:c>
      <x:c r="I88" s="21" t="n">
        <x:f>ROUND(C88*E88*'تنظیمات'!$B$7,2)</x:f>
        <x:v>0</x:v>
      </x:c>
      <x:c r="J88" s="21" t="n">
        <x:f>ROUND(C88*F88,2)</x:f>
        <x:v>0</x:v>
      </x:c>
      <x:c r="K88" s="21" t="n">
        <x:f>ROUND((H88+I88+J88)*'تنظیمات'!$B$8,2)</x:f>
        <x:v>0</x:v>
      </x:c>
      <x:c r="L88" s="21" t="n">
        <x:f>SUM(H88:K88)</x:f>
        <x:v>0</x:v>
      </x:c>
      <x:c r="M88" s="21" t="n">
        <x:f>ROUND(MAX(0,L88-'تنظیمات'!$B$9)*'تنظیمات'!$B$10,2)</x:f>
        <x:v>0</x:v>
      </x:c>
      <x:c r="N88" s="21" t="n">
        <x:f>ROUND(MAX(0,L88*12-'تنظیمات'!$B$11)/12*'تنظیمات'!$B$12,2)</x:f>
        <x:v>0</x:v>
      </x:c>
      <x:c r="O88" s="21" t="n">
        <x:f>ROUND(L88*'تنظیمات'!$B$13,2)</x:f>
        <x:v>0</x:v>
      </x:c>
      <x:c r="P88" s="21" t="n">
        <x:f>ROUND((MIN(L88*12,'تنظیمات'!$B$17)*'تنظیمات'!$B$18+MAX(0,MIN(L88*12,'تنظیمات'!$B$19)-'تنظیمات'!$B$17)*'تنظیمات'!$B$20)/12,2)</x:f>
        <x:v>0</x:v>
      </x:c>
      <x:c r="Q88" s="21" t="n">
        <x:f>ROUND(MIN(L88*12,'تنظیمات'!$B$21)*'تنظیمات'!$B$22/12,2)</x:f>
        <x:v>0</x:v>
      </x:c>
      <x:c r="R88" s="21" t="n">
        <x:f>ROUND(MIN('تنظیمات'!$B$16,MAX(0,L88*12-'تنظیمات'!$B$14)*'تنظیمات'!$B$15)/12,2)</x:f>
        <x:v>0</x:v>
      </x:c>
      <x:c r="S88" s="21" t="n">
        <x:f>SUM(M88:R88)</x:f>
        <x:v>0</x:v>
      </x:c>
      <x:c r="T88" s="21" t="n">
        <x:f>L88-S88</x:f>
        <x:v>0</x:v>
      </x:c>
      <x:c r="U88" s="22" t="n">
        <x:f>'تنظیمات'!$B$5</x:f>
        <x:v>46266</x:v>
      </x:c>
      <x:c r="V88" s="22" t="n">
        <x:f>'تنظیمات'!$B$6</x:f>
        <x:v>46295</x:v>
      </x:c>
      <x:c r="W88" s="17" t="str">
        <x:f>IF(AND(A88&lt;&gt;"",T88&gt;=0),"OK","بررسی شود")</x:f>
        <x:v>بررسی شود</x:v>
      </x:c>
    </x:row>
    <x:row r="89">
      <x:c r="A89" s="13"/>
      <x:c r="B89" s="17" t="str">
        <x:f>IFERROR(VLOOKUP(A89,'کارمندان'!$A$5:$H$205,2,FALSE),"")</x:f>
      </x:c>
      <x:c r="C89" s="21" t="str">
        <x:f>IFERROR(VLOOKUP(A89,'کارمندان'!$A$5:$H$205,5,FALSE),0)</x:f>
      </x:c>
      <x:c r="D89" s="20" t="n">
        <x:f>SUMIFS('حضور و غیاب'!$J$5:$J$205,'حضور و غیاب'!$B$5:$B$205,$A89,'حضور و غیاب'!$A$5:$A$205,"&gt;="&amp;'تنظیمات'!$B$5,'حضور و غیاب'!$A$5:$A$205,"&lt;="&amp;'تنظیمات'!$B$6)</x:f>
        <x:v>0</x:v>
      </x:c>
      <x:c r="E89" s="20" t="n">
        <x:f>SUMIFS('حضور و غیاب'!$K$5:$K$205,'حضور و غیاب'!$B$5:$B$205,$A89,'حضور و غیاب'!$A$5:$A$205,"&gt;="&amp;'تنظیمات'!$B$5,'حضور و غیاب'!$A$5:$A$205,"&lt;="&amp;'تنظیمات'!$B$6)</x:f>
        <x:v>0</x:v>
      </x:c>
      <x:c r="F89" s="20" t="n">
        <x:f>SUMIFS('حضور و غیاب'!$G$5:$G$205,'حضور و غیاب'!$B$5:$B$205,$A89,'حضور و غیاب'!$F$5:$F$205,"Paid",'حضور و غیاب'!$A$5:$A$205,"&gt;="&amp;'تنظیمات'!$B$5,'حضور و غیاب'!$A$5:$A$205,"&lt;="&amp;'تنظیمات'!$B$6)</x:f>
        <x:v>0</x:v>
      </x:c>
      <x:c r="G89" s="20" t="n">
        <x:f>SUMIFS('حضور و غیاب'!$L$5:$L$205,'حضور و غیاب'!$B$5:$B$205,$A89,'حضور و غیاب'!$A$5:$A$205,"&gt;="&amp;'تنظیمات'!$B$5,'حضور و غیاب'!$A$5:$A$205,"&lt;="&amp;'تنظیمات'!$B$6)</x:f>
        <x:v>0</x:v>
      </x:c>
      <x:c r="H89" s="21" t="n">
        <x:f>ROUND(C89*D89,2)</x:f>
        <x:v>0</x:v>
      </x:c>
      <x:c r="I89" s="21" t="n">
        <x:f>ROUND(C89*E89*'تنظیمات'!$B$7,2)</x:f>
        <x:v>0</x:v>
      </x:c>
      <x:c r="J89" s="21" t="n">
        <x:f>ROUND(C89*F89,2)</x:f>
        <x:v>0</x:v>
      </x:c>
      <x:c r="K89" s="21" t="n">
        <x:f>ROUND((H89+I89+J89)*'تنظیمات'!$B$8,2)</x:f>
        <x:v>0</x:v>
      </x:c>
      <x:c r="L89" s="21" t="n">
        <x:f>SUM(H89:K89)</x:f>
        <x:v>0</x:v>
      </x:c>
      <x:c r="M89" s="21" t="n">
        <x:f>ROUND(MAX(0,L89-'تنظیمات'!$B$9)*'تنظیمات'!$B$10,2)</x:f>
        <x:v>0</x:v>
      </x:c>
      <x:c r="N89" s="21" t="n">
        <x:f>ROUND(MAX(0,L89*12-'تنظیمات'!$B$11)/12*'تنظیمات'!$B$12,2)</x:f>
        <x:v>0</x:v>
      </x:c>
      <x:c r="O89" s="21" t="n">
        <x:f>ROUND(L89*'تنظیمات'!$B$13,2)</x:f>
        <x:v>0</x:v>
      </x:c>
      <x:c r="P89" s="21" t="n">
        <x:f>ROUND((MIN(L89*12,'تنظیمات'!$B$17)*'تنظیمات'!$B$18+MAX(0,MIN(L89*12,'تنظیمات'!$B$19)-'تنظیمات'!$B$17)*'تنظیمات'!$B$20)/12,2)</x:f>
        <x:v>0</x:v>
      </x:c>
      <x:c r="Q89" s="21" t="n">
        <x:f>ROUND(MIN(L89*12,'تنظیمات'!$B$21)*'تنظیمات'!$B$22/12,2)</x:f>
        <x:v>0</x:v>
      </x:c>
      <x:c r="R89" s="21" t="n">
        <x:f>ROUND(MIN('تنظیمات'!$B$16,MAX(0,L89*12-'تنظیمات'!$B$14)*'تنظیمات'!$B$15)/12,2)</x:f>
        <x:v>0</x:v>
      </x:c>
      <x:c r="S89" s="21" t="n">
        <x:f>SUM(M89:R89)</x:f>
        <x:v>0</x:v>
      </x:c>
      <x:c r="T89" s="21" t="n">
        <x:f>L89-S89</x:f>
        <x:v>0</x:v>
      </x:c>
      <x:c r="U89" s="22" t="n">
        <x:f>'تنظیمات'!$B$5</x:f>
        <x:v>46266</x:v>
      </x:c>
      <x:c r="V89" s="22" t="n">
        <x:f>'تنظیمات'!$B$6</x:f>
        <x:v>46295</x:v>
      </x:c>
      <x:c r="W89" s="17" t="str">
        <x:f>IF(AND(A89&lt;&gt;"",T89&gt;=0),"OK","بررسی شود")</x:f>
        <x:v>بررسی شود</x:v>
      </x:c>
    </x:row>
    <x:row r="90">
      <x:c r="A90" s="13"/>
      <x:c r="B90" s="17" t="str">
        <x:f>IFERROR(VLOOKUP(A90,'کارمندان'!$A$5:$H$205,2,FALSE),"")</x:f>
      </x:c>
      <x:c r="C90" s="21" t="str">
        <x:f>IFERROR(VLOOKUP(A90,'کارمندان'!$A$5:$H$205,5,FALSE),0)</x:f>
      </x:c>
      <x:c r="D90" s="20" t="n">
        <x:f>SUMIFS('حضور و غیاب'!$J$5:$J$205,'حضور و غیاب'!$B$5:$B$205,$A90,'حضور و غیاب'!$A$5:$A$205,"&gt;="&amp;'تنظیمات'!$B$5,'حضور و غیاب'!$A$5:$A$205,"&lt;="&amp;'تنظیمات'!$B$6)</x:f>
        <x:v>0</x:v>
      </x:c>
      <x:c r="E90" s="20" t="n">
        <x:f>SUMIFS('حضور و غیاب'!$K$5:$K$205,'حضور و غیاب'!$B$5:$B$205,$A90,'حضور و غیاب'!$A$5:$A$205,"&gt;="&amp;'تنظیمات'!$B$5,'حضور و غیاب'!$A$5:$A$205,"&lt;="&amp;'تنظیمات'!$B$6)</x:f>
        <x:v>0</x:v>
      </x:c>
      <x:c r="F90" s="20" t="n">
        <x:f>SUMIFS('حضور و غیاب'!$G$5:$G$205,'حضور و غیاب'!$B$5:$B$205,$A90,'حضور و غیاب'!$F$5:$F$205,"Paid",'حضور و غیاب'!$A$5:$A$205,"&gt;="&amp;'تنظیمات'!$B$5,'حضور و غیاب'!$A$5:$A$205,"&lt;="&amp;'تنظیمات'!$B$6)</x:f>
        <x:v>0</x:v>
      </x:c>
      <x:c r="G90" s="20" t="n">
        <x:f>SUMIFS('حضور و غیاب'!$L$5:$L$205,'حضور و غیاب'!$B$5:$B$205,$A90,'حضور و غیاب'!$A$5:$A$205,"&gt;="&amp;'تنظیمات'!$B$5,'حضور و غیاب'!$A$5:$A$205,"&lt;="&amp;'تنظیمات'!$B$6)</x:f>
        <x:v>0</x:v>
      </x:c>
      <x:c r="H90" s="21" t="n">
        <x:f>ROUND(C90*D90,2)</x:f>
        <x:v>0</x:v>
      </x:c>
      <x:c r="I90" s="21" t="n">
        <x:f>ROUND(C90*E90*'تنظیمات'!$B$7,2)</x:f>
        <x:v>0</x:v>
      </x:c>
      <x:c r="J90" s="21" t="n">
        <x:f>ROUND(C90*F90,2)</x:f>
        <x:v>0</x:v>
      </x:c>
      <x:c r="K90" s="21" t="n">
        <x:f>ROUND((H90+I90+J90)*'تنظیمات'!$B$8,2)</x:f>
        <x:v>0</x:v>
      </x:c>
      <x:c r="L90" s="21" t="n">
        <x:f>SUM(H90:K90)</x:f>
        <x:v>0</x:v>
      </x:c>
      <x:c r="M90" s="21" t="n">
        <x:f>ROUND(MAX(0,L90-'تنظیمات'!$B$9)*'تنظیمات'!$B$10,2)</x:f>
        <x:v>0</x:v>
      </x:c>
      <x:c r="N90" s="21" t="n">
        <x:f>ROUND(MAX(0,L90*12-'تنظیمات'!$B$11)/12*'تنظیمات'!$B$12,2)</x:f>
        <x:v>0</x:v>
      </x:c>
      <x:c r="O90" s="21" t="n">
        <x:f>ROUND(L90*'تنظیمات'!$B$13,2)</x:f>
        <x:v>0</x:v>
      </x:c>
      <x:c r="P90" s="21" t="n">
        <x:f>ROUND((MIN(L90*12,'تنظیمات'!$B$17)*'تنظیمات'!$B$18+MAX(0,MIN(L90*12,'تنظیمات'!$B$19)-'تنظیمات'!$B$17)*'تنظیمات'!$B$20)/12,2)</x:f>
        <x:v>0</x:v>
      </x:c>
      <x:c r="Q90" s="21" t="n">
        <x:f>ROUND(MIN(L90*12,'تنظیمات'!$B$21)*'تنظیمات'!$B$22/12,2)</x:f>
        <x:v>0</x:v>
      </x:c>
      <x:c r="R90" s="21" t="n">
        <x:f>ROUND(MIN('تنظیمات'!$B$16,MAX(0,L90*12-'تنظیمات'!$B$14)*'تنظیمات'!$B$15)/12,2)</x:f>
        <x:v>0</x:v>
      </x:c>
      <x:c r="S90" s="21" t="n">
        <x:f>SUM(M90:R90)</x:f>
        <x:v>0</x:v>
      </x:c>
      <x:c r="T90" s="21" t="n">
        <x:f>L90-S90</x:f>
        <x:v>0</x:v>
      </x:c>
      <x:c r="U90" s="22" t="n">
        <x:f>'تنظیمات'!$B$5</x:f>
        <x:v>46266</x:v>
      </x:c>
      <x:c r="V90" s="22" t="n">
        <x:f>'تنظیمات'!$B$6</x:f>
        <x:v>46295</x:v>
      </x:c>
      <x:c r="W90" s="17" t="str">
        <x:f>IF(AND(A90&lt;&gt;"",T90&gt;=0),"OK","بررسی شود")</x:f>
        <x:v>بررسی شود</x:v>
      </x:c>
    </x:row>
    <x:row r="91">
      <x:c r="A91" s="13"/>
      <x:c r="B91" s="17" t="str">
        <x:f>IFERROR(VLOOKUP(A91,'کارمندان'!$A$5:$H$205,2,FALSE),"")</x:f>
      </x:c>
      <x:c r="C91" s="21" t="str">
        <x:f>IFERROR(VLOOKUP(A91,'کارمندان'!$A$5:$H$205,5,FALSE),0)</x:f>
      </x:c>
      <x:c r="D91" s="20" t="n">
        <x:f>SUMIFS('حضور و غیاب'!$J$5:$J$205,'حضور و غیاب'!$B$5:$B$205,$A91,'حضور و غیاب'!$A$5:$A$205,"&gt;="&amp;'تنظیمات'!$B$5,'حضور و غیاب'!$A$5:$A$205,"&lt;="&amp;'تنظیمات'!$B$6)</x:f>
        <x:v>0</x:v>
      </x:c>
      <x:c r="E91" s="20" t="n">
        <x:f>SUMIFS('حضور و غیاب'!$K$5:$K$205,'حضور و غیاب'!$B$5:$B$205,$A91,'حضور و غیاب'!$A$5:$A$205,"&gt;="&amp;'تنظیمات'!$B$5,'حضور و غیاب'!$A$5:$A$205,"&lt;="&amp;'تنظیمات'!$B$6)</x:f>
        <x:v>0</x:v>
      </x:c>
      <x:c r="F91" s="20" t="n">
        <x:f>SUMIFS('حضور و غیاب'!$G$5:$G$205,'حضور و غیاب'!$B$5:$B$205,$A91,'حضور و غیاب'!$F$5:$F$205,"Paid",'حضور و غیاب'!$A$5:$A$205,"&gt;="&amp;'تنظیمات'!$B$5,'حضور و غیاب'!$A$5:$A$205,"&lt;="&amp;'تنظیمات'!$B$6)</x:f>
        <x:v>0</x:v>
      </x:c>
      <x:c r="G91" s="20" t="n">
        <x:f>SUMIFS('حضور و غیاب'!$L$5:$L$205,'حضور و غیاب'!$B$5:$B$205,$A91,'حضور و غیاب'!$A$5:$A$205,"&gt;="&amp;'تنظیمات'!$B$5,'حضور و غیاب'!$A$5:$A$205,"&lt;="&amp;'تنظیمات'!$B$6)</x:f>
        <x:v>0</x:v>
      </x:c>
      <x:c r="H91" s="21" t="n">
        <x:f>ROUND(C91*D91,2)</x:f>
        <x:v>0</x:v>
      </x:c>
      <x:c r="I91" s="21" t="n">
        <x:f>ROUND(C91*E91*'تنظیمات'!$B$7,2)</x:f>
        <x:v>0</x:v>
      </x:c>
      <x:c r="J91" s="21" t="n">
        <x:f>ROUND(C91*F91,2)</x:f>
        <x:v>0</x:v>
      </x:c>
      <x:c r="K91" s="21" t="n">
        <x:f>ROUND((H91+I91+J91)*'تنظیمات'!$B$8,2)</x:f>
        <x:v>0</x:v>
      </x:c>
      <x:c r="L91" s="21" t="n">
        <x:f>SUM(H91:K91)</x:f>
        <x:v>0</x:v>
      </x:c>
      <x:c r="M91" s="21" t="n">
        <x:f>ROUND(MAX(0,L91-'تنظیمات'!$B$9)*'تنظیمات'!$B$10,2)</x:f>
        <x:v>0</x:v>
      </x:c>
      <x:c r="N91" s="21" t="n">
        <x:f>ROUND(MAX(0,L91*12-'تنظیمات'!$B$11)/12*'تنظیمات'!$B$12,2)</x:f>
        <x:v>0</x:v>
      </x:c>
      <x:c r="O91" s="21" t="n">
        <x:f>ROUND(L91*'تنظیمات'!$B$13,2)</x:f>
        <x:v>0</x:v>
      </x:c>
      <x:c r="P91" s="21" t="n">
        <x:f>ROUND((MIN(L91*12,'تنظیمات'!$B$17)*'تنظیمات'!$B$18+MAX(0,MIN(L91*12,'تنظیمات'!$B$19)-'تنظیمات'!$B$17)*'تنظیمات'!$B$20)/12,2)</x:f>
        <x:v>0</x:v>
      </x:c>
      <x:c r="Q91" s="21" t="n">
        <x:f>ROUND(MIN(L91*12,'تنظیمات'!$B$21)*'تنظیمات'!$B$22/12,2)</x:f>
        <x:v>0</x:v>
      </x:c>
      <x:c r="R91" s="21" t="n">
        <x:f>ROUND(MIN('تنظیمات'!$B$16,MAX(0,L91*12-'تنظیمات'!$B$14)*'تنظیمات'!$B$15)/12,2)</x:f>
        <x:v>0</x:v>
      </x:c>
      <x:c r="S91" s="21" t="n">
        <x:f>SUM(M91:R91)</x:f>
        <x:v>0</x:v>
      </x:c>
      <x:c r="T91" s="21" t="n">
        <x:f>L91-S91</x:f>
        <x:v>0</x:v>
      </x:c>
      <x:c r="U91" s="22" t="n">
        <x:f>'تنظیمات'!$B$5</x:f>
        <x:v>46266</x:v>
      </x:c>
      <x:c r="V91" s="22" t="n">
        <x:f>'تنظیمات'!$B$6</x:f>
        <x:v>46295</x:v>
      </x:c>
      <x:c r="W91" s="17" t="str">
        <x:f>IF(AND(A91&lt;&gt;"",T91&gt;=0),"OK","بررسی شود")</x:f>
        <x:v>بررسی شود</x:v>
      </x:c>
    </x:row>
    <x:row r="92">
      <x:c r="A92" s="13"/>
      <x:c r="B92" s="17" t="str">
        <x:f>IFERROR(VLOOKUP(A92,'کارمندان'!$A$5:$H$205,2,FALSE),"")</x:f>
      </x:c>
      <x:c r="C92" s="21" t="str">
        <x:f>IFERROR(VLOOKUP(A92,'کارمندان'!$A$5:$H$205,5,FALSE),0)</x:f>
      </x:c>
      <x:c r="D92" s="20" t="n">
        <x:f>SUMIFS('حضور و غیاب'!$J$5:$J$205,'حضور و غیاب'!$B$5:$B$205,$A92,'حضور و غیاب'!$A$5:$A$205,"&gt;="&amp;'تنظیمات'!$B$5,'حضور و غیاب'!$A$5:$A$205,"&lt;="&amp;'تنظیمات'!$B$6)</x:f>
        <x:v>0</x:v>
      </x:c>
      <x:c r="E92" s="20" t="n">
        <x:f>SUMIFS('حضور و غیاب'!$K$5:$K$205,'حضور و غیاب'!$B$5:$B$205,$A92,'حضور و غیاب'!$A$5:$A$205,"&gt;="&amp;'تنظیمات'!$B$5,'حضور و غیاب'!$A$5:$A$205,"&lt;="&amp;'تنظیمات'!$B$6)</x:f>
        <x:v>0</x:v>
      </x:c>
      <x:c r="F92" s="20" t="n">
        <x:f>SUMIFS('حضور و غیاب'!$G$5:$G$205,'حضور و غیاب'!$B$5:$B$205,$A92,'حضور و غیاب'!$F$5:$F$205,"Paid",'حضور و غیاب'!$A$5:$A$205,"&gt;="&amp;'تنظیمات'!$B$5,'حضور و غیاب'!$A$5:$A$205,"&lt;="&amp;'تنظیمات'!$B$6)</x:f>
        <x:v>0</x:v>
      </x:c>
      <x:c r="G92" s="20" t="n">
        <x:f>SUMIFS('حضور و غیاب'!$L$5:$L$205,'حضور و غیاب'!$B$5:$B$205,$A92,'حضور و غیاب'!$A$5:$A$205,"&gt;="&amp;'تنظیمات'!$B$5,'حضور و غیاب'!$A$5:$A$205,"&lt;="&amp;'تنظیمات'!$B$6)</x:f>
        <x:v>0</x:v>
      </x:c>
      <x:c r="H92" s="21" t="n">
        <x:f>ROUND(C92*D92,2)</x:f>
        <x:v>0</x:v>
      </x:c>
      <x:c r="I92" s="21" t="n">
        <x:f>ROUND(C92*E92*'تنظیمات'!$B$7,2)</x:f>
        <x:v>0</x:v>
      </x:c>
      <x:c r="J92" s="21" t="n">
        <x:f>ROUND(C92*F92,2)</x:f>
        <x:v>0</x:v>
      </x:c>
      <x:c r="K92" s="21" t="n">
        <x:f>ROUND((H92+I92+J92)*'تنظیمات'!$B$8,2)</x:f>
        <x:v>0</x:v>
      </x:c>
      <x:c r="L92" s="21" t="n">
        <x:f>SUM(H92:K92)</x:f>
        <x:v>0</x:v>
      </x:c>
      <x:c r="M92" s="21" t="n">
        <x:f>ROUND(MAX(0,L92-'تنظیمات'!$B$9)*'تنظیمات'!$B$10,2)</x:f>
        <x:v>0</x:v>
      </x:c>
      <x:c r="N92" s="21" t="n">
        <x:f>ROUND(MAX(0,L92*12-'تنظیمات'!$B$11)/12*'تنظیمات'!$B$12,2)</x:f>
        <x:v>0</x:v>
      </x:c>
      <x:c r="O92" s="21" t="n">
        <x:f>ROUND(L92*'تنظیمات'!$B$13,2)</x:f>
        <x:v>0</x:v>
      </x:c>
      <x:c r="P92" s="21" t="n">
        <x:f>ROUND((MIN(L92*12,'تنظیمات'!$B$17)*'تنظیمات'!$B$18+MAX(0,MIN(L92*12,'تنظیمات'!$B$19)-'تنظیمات'!$B$17)*'تنظیمات'!$B$20)/12,2)</x:f>
        <x:v>0</x:v>
      </x:c>
      <x:c r="Q92" s="21" t="n">
        <x:f>ROUND(MIN(L92*12,'تنظیمات'!$B$21)*'تنظیمات'!$B$22/12,2)</x:f>
        <x:v>0</x:v>
      </x:c>
      <x:c r="R92" s="21" t="n">
        <x:f>ROUND(MIN('تنظیمات'!$B$16,MAX(0,L92*12-'تنظیمات'!$B$14)*'تنظیمات'!$B$15)/12,2)</x:f>
        <x:v>0</x:v>
      </x:c>
      <x:c r="S92" s="21" t="n">
        <x:f>SUM(M92:R92)</x:f>
        <x:v>0</x:v>
      </x:c>
      <x:c r="T92" s="21" t="n">
        <x:f>L92-S92</x:f>
        <x:v>0</x:v>
      </x:c>
      <x:c r="U92" s="22" t="n">
        <x:f>'تنظیمات'!$B$5</x:f>
        <x:v>46266</x:v>
      </x:c>
      <x:c r="V92" s="22" t="n">
        <x:f>'تنظیمات'!$B$6</x:f>
        <x:v>46295</x:v>
      </x:c>
      <x:c r="W92" s="17" t="str">
        <x:f>IF(AND(A92&lt;&gt;"",T92&gt;=0),"OK","بررسی شود")</x:f>
        <x:v>بررسی شود</x:v>
      </x:c>
    </x:row>
    <x:row r="93">
      <x:c r="A93" s="13"/>
      <x:c r="B93" s="17" t="str">
        <x:f>IFERROR(VLOOKUP(A93,'کارمندان'!$A$5:$H$205,2,FALSE),"")</x:f>
      </x:c>
      <x:c r="C93" s="21" t="str">
        <x:f>IFERROR(VLOOKUP(A93,'کارمندان'!$A$5:$H$205,5,FALSE),0)</x:f>
      </x:c>
      <x:c r="D93" s="20" t="n">
        <x:f>SUMIFS('حضور و غیاب'!$J$5:$J$205,'حضور و غیاب'!$B$5:$B$205,$A93,'حضور و غیاب'!$A$5:$A$205,"&gt;="&amp;'تنظیمات'!$B$5,'حضور و غیاب'!$A$5:$A$205,"&lt;="&amp;'تنظیمات'!$B$6)</x:f>
        <x:v>0</x:v>
      </x:c>
      <x:c r="E93" s="20" t="n">
        <x:f>SUMIFS('حضور و غیاب'!$K$5:$K$205,'حضور و غیاب'!$B$5:$B$205,$A93,'حضور و غیاب'!$A$5:$A$205,"&gt;="&amp;'تنظیمات'!$B$5,'حضور و غیاب'!$A$5:$A$205,"&lt;="&amp;'تنظیمات'!$B$6)</x:f>
        <x:v>0</x:v>
      </x:c>
      <x:c r="F93" s="20" t="n">
        <x:f>SUMIFS('حضور و غیاب'!$G$5:$G$205,'حضور و غیاب'!$B$5:$B$205,$A93,'حضور و غیاب'!$F$5:$F$205,"Paid",'حضور و غیاب'!$A$5:$A$205,"&gt;="&amp;'تنظیمات'!$B$5,'حضور و غیاب'!$A$5:$A$205,"&lt;="&amp;'تنظیمات'!$B$6)</x:f>
        <x:v>0</x:v>
      </x:c>
      <x:c r="G93" s="20" t="n">
        <x:f>SUMIFS('حضور و غیاب'!$L$5:$L$205,'حضور و غیاب'!$B$5:$B$205,$A93,'حضور و غیاب'!$A$5:$A$205,"&gt;="&amp;'تنظیمات'!$B$5,'حضور و غیاب'!$A$5:$A$205,"&lt;="&amp;'تنظیمات'!$B$6)</x:f>
        <x:v>0</x:v>
      </x:c>
      <x:c r="H93" s="21" t="n">
        <x:f>ROUND(C93*D93,2)</x:f>
        <x:v>0</x:v>
      </x:c>
      <x:c r="I93" s="21" t="n">
        <x:f>ROUND(C93*E93*'تنظیمات'!$B$7,2)</x:f>
        <x:v>0</x:v>
      </x:c>
      <x:c r="J93" s="21" t="n">
        <x:f>ROUND(C93*F93,2)</x:f>
        <x:v>0</x:v>
      </x:c>
      <x:c r="K93" s="21" t="n">
        <x:f>ROUND((H93+I93+J93)*'تنظیمات'!$B$8,2)</x:f>
        <x:v>0</x:v>
      </x:c>
      <x:c r="L93" s="21" t="n">
        <x:f>SUM(H93:K93)</x:f>
        <x:v>0</x:v>
      </x:c>
      <x:c r="M93" s="21" t="n">
        <x:f>ROUND(MAX(0,L93-'تنظیمات'!$B$9)*'تنظیمات'!$B$10,2)</x:f>
        <x:v>0</x:v>
      </x:c>
      <x:c r="N93" s="21" t="n">
        <x:f>ROUND(MAX(0,L93*12-'تنظیمات'!$B$11)/12*'تنظیمات'!$B$12,2)</x:f>
        <x:v>0</x:v>
      </x:c>
      <x:c r="O93" s="21" t="n">
        <x:f>ROUND(L93*'تنظیمات'!$B$13,2)</x:f>
        <x:v>0</x:v>
      </x:c>
      <x:c r="P93" s="21" t="n">
        <x:f>ROUND((MIN(L93*12,'تنظیمات'!$B$17)*'تنظیمات'!$B$18+MAX(0,MIN(L93*12,'تنظیمات'!$B$19)-'تنظیمات'!$B$17)*'تنظیمات'!$B$20)/12,2)</x:f>
        <x:v>0</x:v>
      </x:c>
      <x:c r="Q93" s="21" t="n">
        <x:f>ROUND(MIN(L93*12,'تنظیمات'!$B$21)*'تنظیمات'!$B$22/12,2)</x:f>
        <x:v>0</x:v>
      </x:c>
      <x:c r="R93" s="21" t="n">
        <x:f>ROUND(MIN('تنظیمات'!$B$16,MAX(0,L93*12-'تنظیمات'!$B$14)*'تنظیمات'!$B$15)/12,2)</x:f>
        <x:v>0</x:v>
      </x:c>
      <x:c r="S93" s="21" t="n">
        <x:f>SUM(M93:R93)</x:f>
        <x:v>0</x:v>
      </x:c>
      <x:c r="T93" s="21" t="n">
        <x:f>L93-S93</x:f>
        <x:v>0</x:v>
      </x:c>
      <x:c r="U93" s="22" t="n">
        <x:f>'تنظیمات'!$B$5</x:f>
        <x:v>46266</x:v>
      </x:c>
      <x:c r="V93" s="22" t="n">
        <x:f>'تنظیمات'!$B$6</x:f>
        <x:v>46295</x:v>
      </x:c>
      <x:c r="W93" s="17" t="str">
        <x:f>IF(AND(A93&lt;&gt;"",T93&gt;=0),"OK","بررسی شود")</x:f>
        <x:v>بررسی شود</x:v>
      </x:c>
    </x:row>
    <x:row r="94">
      <x:c r="A94" s="13"/>
      <x:c r="B94" s="17" t="str">
        <x:f>IFERROR(VLOOKUP(A94,'کارمندان'!$A$5:$H$205,2,FALSE),"")</x:f>
      </x:c>
      <x:c r="C94" s="21" t="str">
        <x:f>IFERROR(VLOOKUP(A94,'کارمندان'!$A$5:$H$205,5,FALSE),0)</x:f>
      </x:c>
      <x:c r="D94" s="20" t="n">
        <x:f>SUMIFS('حضور و غیاب'!$J$5:$J$205,'حضور و غیاب'!$B$5:$B$205,$A94,'حضور و غیاب'!$A$5:$A$205,"&gt;="&amp;'تنظیمات'!$B$5,'حضور و غیاب'!$A$5:$A$205,"&lt;="&amp;'تنظیمات'!$B$6)</x:f>
        <x:v>0</x:v>
      </x:c>
      <x:c r="E94" s="20" t="n">
        <x:f>SUMIFS('حضور و غیاب'!$K$5:$K$205,'حضور و غیاب'!$B$5:$B$205,$A94,'حضور و غیاب'!$A$5:$A$205,"&gt;="&amp;'تنظیمات'!$B$5,'حضور و غیاب'!$A$5:$A$205,"&lt;="&amp;'تنظیمات'!$B$6)</x:f>
        <x:v>0</x:v>
      </x:c>
      <x:c r="F94" s="20" t="n">
        <x:f>SUMIFS('حضور و غیاب'!$G$5:$G$205,'حضور و غیاب'!$B$5:$B$205,$A94,'حضور و غیاب'!$F$5:$F$205,"Paid",'حضور و غیاب'!$A$5:$A$205,"&gt;="&amp;'تنظیمات'!$B$5,'حضور و غیاب'!$A$5:$A$205,"&lt;="&amp;'تنظیمات'!$B$6)</x:f>
        <x:v>0</x:v>
      </x:c>
      <x:c r="G94" s="20" t="n">
        <x:f>SUMIFS('حضور و غیاب'!$L$5:$L$205,'حضور و غیاب'!$B$5:$B$205,$A94,'حضور و غیاب'!$A$5:$A$205,"&gt;="&amp;'تنظیمات'!$B$5,'حضور و غیاب'!$A$5:$A$205,"&lt;="&amp;'تنظیمات'!$B$6)</x:f>
        <x:v>0</x:v>
      </x:c>
      <x:c r="H94" s="21" t="n">
        <x:f>ROUND(C94*D94,2)</x:f>
        <x:v>0</x:v>
      </x:c>
      <x:c r="I94" s="21" t="n">
        <x:f>ROUND(C94*E94*'تنظیمات'!$B$7,2)</x:f>
        <x:v>0</x:v>
      </x:c>
      <x:c r="J94" s="21" t="n">
        <x:f>ROUND(C94*F94,2)</x:f>
        <x:v>0</x:v>
      </x:c>
      <x:c r="K94" s="21" t="n">
        <x:f>ROUND((H94+I94+J94)*'تنظیمات'!$B$8,2)</x:f>
        <x:v>0</x:v>
      </x:c>
      <x:c r="L94" s="21" t="n">
        <x:f>SUM(H94:K94)</x:f>
        <x:v>0</x:v>
      </x:c>
      <x:c r="M94" s="21" t="n">
        <x:f>ROUND(MAX(0,L94-'تنظیمات'!$B$9)*'تنظیمات'!$B$10,2)</x:f>
        <x:v>0</x:v>
      </x:c>
      <x:c r="N94" s="21" t="n">
        <x:f>ROUND(MAX(0,L94*12-'تنظیمات'!$B$11)/12*'تنظیمات'!$B$12,2)</x:f>
        <x:v>0</x:v>
      </x:c>
      <x:c r="O94" s="21" t="n">
        <x:f>ROUND(L94*'تنظیمات'!$B$13,2)</x:f>
        <x:v>0</x:v>
      </x:c>
      <x:c r="P94" s="21" t="n">
        <x:f>ROUND((MIN(L94*12,'تنظیمات'!$B$17)*'تنظیمات'!$B$18+MAX(0,MIN(L94*12,'تنظیمات'!$B$19)-'تنظیمات'!$B$17)*'تنظیمات'!$B$20)/12,2)</x:f>
        <x:v>0</x:v>
      </x:c>
      <x:c r="Q94" s="21" t="n">
        <x:f>ROUND(MIN(L94*12,'تنظیمات'!$B$21)*'تنظیمات'!$B$22/12,2)</x:f>
        <x:v>0</x:v>
      </x:c>
      <x:c r="R94" s="21" t="n">
        <x:f>ROUND(MIN('تنظیمات'!$B$16,MAX(0,L94*12-'تنظیمات'!$B$14)*'تنظیمات'!$B$15)/12,2)</x:f>
        <x:v>0</x:v>
      </x:c>
      <x:c r="S94" s="21" t="n">
        <x:f>SUM(M94:R94)</x:f>
        <x:v>0</x:v>
      </x:c>
      <x:c r="T94" s="21" t="n">
        <x:f>L94-S94</x:f>
        <x:v>0</x:v>
      </x:c>
      <x:c r="U94" s="22" t="n">
        <x:f>'تنظیمات'!$B$5</x:f>
        <x:v>46266</x:v>
      </x:c>
      <x:c r="V94" s="22" t="n">
        <x:f>'تنظیمات'!$B$6</x:f>
        <x:v>46295</x:v>
      </x:c>
      <x:c r="W94" s="17" t="str">
        <x:f>IF(AND(A94&lt;&gt;"",T94&gt;=0),"OK","بررسی شود")</x:f>
        <x:v>بررسی شود</x:v>
      </x:c>
    </x:row>
    <x:row r="95">
      <x:c r="A95" s="13"/>
      <x:c r="B95" s="17" t="str">
        <x:f>IFERROR(VLOOKUP(A95,'کارمندان'!$A$5:$H$205,2,FALSE),"")</x:f>
      </x:c>
      <x:c r="C95" s="21" t="str">
        <x:f>IFERROR(VLOOKUP(A95,'کارمندان'!$A$5:$H$205,5,FALSE),0)</x:f>
      </x:c>
      <x:c r="D95" s="20" t="n">
        <x:f>SUMIFS('حضور و غیاب'!$J$5:$J$205,'حضور و غیاب'!$B$5:$B$205,$A95,'حضور و غیاب'!$A$5:$A$205,"&gt;="&amp;'تنظیمات'!$B$5,'حضور و غیاب'!$A$5:$A$205,"&lt;="&amp;'تنظیمات'!$B$6)</x:f>
        <x:v>0</x:v>
      </x:c>
      <x:c r="E95" s="20" t="n">
        <x:f>SUMIFS('حضور و غیاب'!$K$5:$K$205,'حضور و غیاب'!$B$5:$B$205,$A95,'حضور و غیاب'!$A$5:$A$205,"&gt;="&amp;'تنظیمات'!$B$5,'حضور و غیاب'!$A$5:$A$205,"&lt;="&amp;'تنظیمات'!$B$6)</x:f>
        <x:v>0</x:v>
      </x:c>
      <x:c r="F95" s="20" t="n">
        <x:f>SUMIFS('حضور و غیاب'!$G$5:$G$205,'حضور و غیاب'!$B$5:$B$205,$A95,'حضور و غیاب'!$F$5:$F$205,"Paid",'حضور و غیاب'!$A$5:$A$205,"&gt;="&amp;'تنظیمات'!$B$5,'حضور و غیاب'!$A$5:$A$205,"&lt;="&amp;'تنظیمات'!$B$6)</x:f>
        <x:v>0</x:v>
      </x:c>
      <x:c r="G95" s="20" t="n">
        <x:f>SUMIFS('حضور و غیاب'!$L$5:$L$205,'حضور و غیاب'!$B$5:$B$205,$A95,'حضور و غیاب'!$A$5:$A$205,"&gt;="&amp;'تنظیمات'!$B$5,'حضور و غیاب'!$A$5:$A$205,"&lt;="&amp;'تنظیمات'!$B$6)</x:f>
        <x:v>0</x:v>
      </x:c>
      <x:c r="H95" s="21" t="n">
        <x:f>ROUND(C95*D95,2)</x:f>
        <x:v>0</x:v>
      </x:c>
      <x:c r="I95" s="21" t="n">
        <x:f>ROUND(C95*E95*'تنظیمات'!$B$7,2)</x:f>
        <x:v>0</x:v>
      </x:c>
      <x:c r="J95" s="21" t="n">
        <x:f>ROUND(C95*F95,2)</x:f>
        <x:v>0</x:v>
      </x:c>
      <x:c r="K95" s="21" t="n">
        <x:f>ROUND((H95+I95+J95)*'تنظیمات'!$B$8,2)</x:f>
        <x:v>0</x:v>
      </x:c>
      <x:c r="L95" s="21" t="n">
        <x:f>SUM(H95:K95)</x:f>
        <x:v>0</x:v>
      </x:c>
      <x:c r="M95" s="21" t="n">
        <x:f>ROUND(MAX(0,L95-'تنظیمات'!$B$9)*'تنظیمات'!$B$10,2)</x:f>
        <x:v>0</x:v>
      </x:c>
      <x:c r="N95" s="21" t="n">
        <x:f>ROUND(MAX(0,L95*12-'تنظیمات'!$B$11)/12*'تنظیمات'!$B$12,2)</x:f>
        <x:v>0</x:v>
      </x:c>
      <x:c r="O95" s="21" t="n">
        <x:f>ROUND(L95*'تنظیمات'!$B$13,2)</x:f>
        <x:v>0</x:v>
      </x:c>
      <x:c r="P95" s="21" t="n">
        <x:f>ROUND((MIN(L95*12,'تنظیمات'!$B$17)*'تنظیمات'!$B$18+MAX(0,MIN(L95*12,'تنظیمات'!$B$19)-'تنظیمات'!$B$17)*'تنظیمات'!$B$20)/12,2)</x:f>
        <x:v>0</x:v>
      </x:c>
      <x:c r="Q95" s="21" t="n">
        <x:f>ROUND(MIN(L95*12,'تنظیمات'!$B$21)*'تنظیمات'!$B$22/12,2)</x:f>
        <x:v>0</x:v>
      </x:c>
      <x:c r="R95" s="21" t="n">
        <x:f>ROUND(MIN('تنظیمات'!$B$16,MAX(0,L95*12-'تنظیمات'!$B$14)*'تنظیمات'!$B$15)/12,2)</x:f>
        <x:v>0</x:v>
      </x:c>
      <x:c r="S95" s="21" t="n">
        <x:f>SUM(M95:R95)</x:f>
        <x:v>0</x:v>
      </x:c>
      <x:c r="T95" s="21" t="n">
        <x:f>L95-S95</x:f>
        <x:v>0</x:v>
      </x:c>
      <x:c r="U95" s="22" t="n">
        <x:f>'تنظیمات'!$B$5</x:f>
        <x:v>46266</x:v>
      </x:c>
      <x:c r="V95" s="22" t="n">
        <x:f>'تنظیمات'!$B$6</x:f>
        <x:v>46295</x:v>
      </x:c>
      <x:c r="W95" s="17" t="str">
        <x:f>IF(AND(A95&lt;&gt;"",T95&gt;=0),"OK","بررسی شود")</x:f>
        <x:v>بررسی شود</x:v>
      </x:c>
    </x:row>
    <x:row r="96">
      <x:c r="A96" s="13"/>
      <x:c r="B96" s="17" t="str">
        <x:f>IFERROR(VLOOKUP(A96,'کارمندان'!$A$5:$H$205,2,FALSE),"")</x:f>
      </x:c>
      <x:c r="C96" s="21" t="str">
        <x:f>IFERROR(VLOOKUP(A96,'کارمندان'!$A$5:$H$205,5,FALSE),0)</x:f>
      </x:c>
      <x:c r="D96" s="20" t="n">
        <x:f>SUMIFS('حضور و غیاب'!$J$5:$J$205,'حضور و غیاب'!$B$5:$B$205,$A96,'حضور و غیاب'!$A$5:$A$205,"&gt;="&amp;'تنظیمات'!$B$5,'حضور و غیاب'!$A$5:$A$205,"&lt;="&amp;'تنظیمات'!$B$6)</x:f>
        <x:v>0</x:v>
      </x:c>
      <x:c r="E96" s="20" t="n">
        <x:f>SUMIFS('حضور و غیاب'!$K$5:$K$205,'حضور و غیاب'!$B$5:$B$205,$A96,'حضور و غیاب'!$A$5:$A$205,"&gt;="&amp;'تنظیمات'!$B$5,'حضور و غیاب'!$A$5:$A$205,"&lt;="&amp;'تنظیمات'!$B$6)</x:f>
        <x:v>0</x:v>
      </x:c>
      <x:c r="F96" s="20" t="n">
        <x:f>SUMIFS('حضور و غیاب'!$G$5:$G$205,'حضور و غیاب'!$B$5:$B$205,$A96,'حضور و غیاب'!$F$5:$F$205,"Paid",'حضور و غیاب'!$A$5:$A$205,"&gt;="&amp;'تنظیمات'!$B$5,'حضور و غیاب'!$A$5:$A$205,"&lt;="&amp;'تنظیمات'!$B$6)</x:f>
        <x:v>0</x:v>
      </x:c>
      <x:c r="G96" s="20" t="n">
        <x:f>SUMIFS('حضور و غیاب'!$L$5:$L$205,'حضور و غیاب'!$B$5:$B$205,$A96,'حضور و غیاب'!$A$5:$A$205,"&gt;="&amp;'تنظیمات'!$B$5,'حضور و غیاب'!$A$5:$A$205,"&lt;="&amp;'تنظیمات'!$B$6)</x:f>
        <x:v>0</x:v>
      </x:c>
      <x:c r="H96" s="21" t="n">
        <x:f>ROUND(C96*D96,2)</x:f>
        <x:v>0</x:v>
      </x:c>
      <x:c r="I96" s="21" t="n">
        <x:f>ROUND(C96*E96*'تنظیمات'!$B$7,2)</x:f>
        <x:v>0</x:v>
      </x:c>
      <x:c r="J96" s="21" t="n">
        <x:f>ROUND(C96*F96,2)</x:f>
        <x:v>0</x:v>
      </x:c>
      <x:c r="K96" s="21" t="n">
        <x:f>ROUND((H96+I96+J96)*'تنظیمات'!$B$8,2)</x:f>
        <x:v>0</x:v>
      </x:c>
      <x:c r="L96" s="21" t="n">
        <x:f>SUM(H96:K96)</x:f>
        <x:v>0</x:v>
      </x:c>
      <x:c r="M96" s="21" t="n">
        <x:f>ROUND(MAX(0,L96-'تنظیمات'!$B$9)*'تنظیمات'!$B$10,2)</x:f>
        <x:v>0</x:v>
      </x:c>
      <x:c r="N96" s="21" t="n">
        <x:f>ROUND(MAX(0,L96*12-'تنظیمات'!$B$11)/12*'تنظیمات'!$B$12,2)</x:f>
        <x:v>0</x:v>
      </x:c>
      <x:c r="O96" s="21" t="n">
        <x:f>ROUND(L96*'تنظیمات'!$B$13,2)</x:f>
        <x:v>0</x:v>
      </x:c>
      <x:c r="P96" s="21" t="n">
        <x:f>ROUND((MIN(L96*12,'تنظیمات'!$B$17)*'تنظیمات'!$B$18+MAX(0,MIN(L96*12,'تنظیمات'!$B$19)-'تنظیمات'!$B$17)*'تنظیمات'!$B$20)/12,2)</x:f>
        <x:v>0</x:v>
      </x:c>
      <x:c r="Q96" s="21" t="n">
        <x:f>ROUND(MIN(L96*12,'تنظیمات'!$B$21)*'تنظیمات'!$B$22/12,2)</x:f>
        <x:v>0</x:v>
      </x:c>
      <x:c r="R96" s="21" t="n">
        <x:f>ROUND(MIN('تنظیمات'!$B$16,MAX(0,L96*12-'تنظیمات'!$B$14)*'تنظیمات'!$B$15)/12,2)</x:f>
        <x:v>0</x:v>
      </x:c>
      <x:c r="S96" s="21" t="n">
        <x:f>SUM(M96:R96)</x:f>
        <x:v>0</x:v>
      </x:c>
      <x:c r="T96" s="21" t="n">
        <x:f>L96-S96</x:f>
        <x:v>0</x:v>
      </x:c>
      <x:c r="U96" s="22" t="n">
        <x:f>'تنظیمات'!$B$5</x:f>
        <x:v>46266</x:v>
      </x:c>
      <x:c r="V96" s="22" t="n">
        <x:f>'تنظیمات'!$B$6</x:f>
        <x:v>46295</x:v>
      </x:c>
      <x:c r="W96" s="17" t="str">
        <x:f>IF(AND(A96&lt;&gt;"",T96&gt;=0),"OK","بررسی شود")</x:f>
        <x:v>بررسی شود</x:v>
      </x:c>
    </x:row>
    <x:row r="97">
      <x:c r="A97" s="13"/>
      <x:c r="B97" s="17" t="str">
        <x:f>IFERROR(VLOOKUP(A97,'کارمندان'!$A$5:$H$205,2,FALSE),"")</x:f>
      </x:c>
      <x:c r="C97" s="21" t="str">
        <x:f>IFERROR(VLOOKUP(A97,'کارمندان'!$A$5:$H$205,5,FALSE),0)</x:f>
      </x:c>
      <x:c r="D97" s="20" t="n">
        <x:f>SUMIFS('حضور و غیاب'!$J$5:$J$205,'حضور و غیاب'!$B$5:$B$205,$A97,'حضور و غیاب'!$A$5:$A$205,"&gt;="&amp;'تنظیمات'!$B$5,'حضور و غیاب'!$A$5:$A$205,"&lt;="&amp;'تنظیمات'!$B$6)</x:f>
        <x:v>0</x:v>
      </x:c>
      <x:c r="E97" s="20" t="n">
        <x:f>SUMIFS('حضور و غیاب'!$K$5:$K$205,'حضور و غیاب'!$B$5:$B$205,$A97,'حضور و غیاب'!$A$5:$A$205,"&gt;="&amp;'تنظیمات'!$B$5,'حضور و غیاب'!$A$5:$A$205,"&lt;="&amp;'تنظیمات'!$B$6)</x:f>
        <x:v>0</x:v>
      </x:c>
      <x:c r="F97" s="20" t="n">
        <x:f>SUMIFS('حضور و غیاب'!$G$5:$G$205,'حضور و غیاب'!$B$5:$B$205,$A97,'حضور و غیاب'!$F$5:$F$205,"Paid",'حضور و غیاب'!$A$5:$A$205,"&gt;="&amp;'تنظیمات'!$B$5,'حضور و غیاب'!$A$5:$A$205,"&lt;="&amp;'تنظیمات'!$B$6)</x:f>
        <x:v>0</x:v>
      </x:c>
      <x:c r="G97" s="20" t="n">
        <x:f>SUMIFS('حضور و غیاب'!$L$5:$L$205,'حضور و غیاب'!$B$5:$B$205,$A97,'حضور و غیاب'!$A$5:$A$205,"&gt;="&amp;'تنظیمات'!$B$5,'حضور و غیاب'!$A$5:$A$205,"&lt;="&amp;'تنظیمات'!$B$6)</x:f>
        <x:v>0</x:v>
      </x:c>
      <x:c r="H97" s="21" t="n">
        <x:f>ROUND(C97*D97,2)</x:f>
        <x:v>0</x:v>
      </x:c>
      <x:c r="I97" s="21" t="n">
        <x:f>ROUND(C97*E97*'تنظیمات'!$B$7,2)</x:f>
        <x:v>0</x:v>
      </x:c>
      <x:c r="J97" s="21" t="n">
        <x:f>ROUND(C97*F97,2)</x:f>
        <x:v>0</x:v>
      </x:c>
      <x:c r="K97" s="21" t="n">
        <x:f>ROUND((H97+I97+J97)*'تنظیمات'!$B$8,2)</x:f>
        <x:v>0</x:v>
      </x:c>
      <x:c r="L97" s="21" t="n">
        <x:f>SUM(H97:K97)</x:f>
        <x:v>0</x:v>
      </x:c>
      <x:c r="M97" s="21" t="n">
        <x:f>ROUND(MAX(0,L97-'تنظیمات'!$B$9)*'تنظیمات'!$B$10,2)</x:f>
        <x:v>0</x:v>
      </x:c>
      <x:c r="N97" s="21" t="n">
        <x:f>ROUND(MAX(0,L97*12-'تنظیمات'!$B$11)/12*'تنظیمات'!$B$12,2)</x:f>
        <x:v>0</x:v>
      </x:c>
      <x:c r="O97" s="21" t="n">
        <x:f>ROUND(L97*'تنظیمات'!$B$13,2)</x:f>
        <x:v>0</x:v>
      </x:c>
      <x:c r="P97" s="21" t="n">
        <x:f>ROUND((MIN(L97*12,'تنظیمات'!$B$17)*'تنظیمات'!$B$18+MAX(0,MIN(L97*12,'تنظیمات'!$B$19)-'تنظیمات'!$B$17)*'تنظیمات'!$B$20)/12,2)</x:f>
        <x:v>0</x:v>
      </x:c>
      <x:c r="Q97" s="21" t="n">
        <x:f>ROUND(MIN(L97*12,'تنظیمات'!$B$21)*'تنظیمات'!$B$22/12,2)</x:f>
        <x:v>0</x:v>
      </x:c>
      <x:c r="R97" s="21" t="n">
        <x:f>ROUND(MIN('تنظیمات'!$B$16,MAX(0,L97*12-'تنظیمات'!$B$14)*'تنظیمات'!$B$15)/12,2)</x:f>
        <x:v>0</x:v>
      </x:c>
      <x:c r="S97" s="21" t="n">
        <x:f>SUM(M97:R97)</x:f>
        <x:v>0</x:v>
      </x:c>
      <x:c r="T97" s="21" t="n">
        <x:f>L97-S97</x:f>
        <x:v>0</x:v>
      </x:c>
      <x:c r="U97" s="22" t="n">
        <x:f>'تنظیمات'!$B$5</x:f>
        <x:v>46266</x:v>
      </x:c>
      <x:c r="V97" s="22" t="n">
        <x:f>'تنظیمات'!$B$6</x:f>
        <x:v>46295</x:v>
      </x:c>
      <x:c r="W97" s="17" t="str">
        <x:f>IF(AND(A97&lt;&gt;"",T97&gt;=0),"OK","بررسی شود")</x:f>
        <x:v>بررسی شود</x:v>
      </x:c>
    </x:row>
    <x:row r="98">
      <x:c r="A98" s="13"/>
      <x:c r="B98" s="17" t="str">
        <x:f>IFERROR(VLOOKUP(A98,'کارمندان'!$A$5:$H$205,2,FALSE),"")</x:f>
      </x:c>
      <x:c r="C98" s="21" t="str">
        <x:f>IFERROR(VLOOKUP(A98,'کارمندان'!$A$5:$H$205,5,FALSE),0)</x:f>
      </x:c>
      <x:c r="D98" s="20" t="n">
        <x:f>SUMIFS('حضور و غیاب'!$J$5:$J$205,'حضور و غیاب'!$B$5:$B$205,$A98,'حضور و غیاب'!$A$5:$A$205,"&gt;="&amp;'تنظیمات'!$B$5,'حضور و غیاب'!$A$5:$A$205,"&lt;="&amp;'تنظیمات'!$B$6)</x:f>
        <x:v>0</x:v>
      </x:c>
      <x:c r="E98" s="20" t="n">
        <x:f>SUMIFS('حضور و غیاب'!$K$5:$K$205,'حضور و غیاب'!$B$5:$B$205,$A98,'حضور و غیاب'!$A$5:$A$205,"&gt;="&amp;'تنظیمات'!$B$5,'حضور و غیاب'!$A$5:$A$205,"&lt;="&amp;'تنظیمات'!$B$6)</x:f>
        <x:v>0</x:v>
      </x:c>
      <x:c r="F98" s="20" t="n">
        <x:f>SUMIFS('حضور و غیاب'!$G$5:$G$205,'حضور و غیاب'!$B$5:$B$205,$A98,'حضور و غیاب'!$F$5:$F$205,"Paid",'حضور و غیاب'!$A$5:$A$205,"&gt;="&amp;'تنظیمات'!$B$5,'حضور و غیاب'!$A$5:$A$205,"&lt;="&amp;'تنظیمات'!$B$6)</x:f>
        <x:v>0</x:v>
      </x:c>
      <x:c r="G98" s="20" t="n">
        <x:f>SUMIFS('حضور و غیاب'!$L$5:$L$205,'حضور و غیاب'!$B$5:$B$205,$A98,'حضور و غیاب'!$A$5:$A$205,"&gt;="&amp;'تنظیمات'!$B$5,'حضور و غیاب'!$A$5:$A$205,"&lt;="&amp;'تنظیمات'!$B$6)</x:f>
        <x:v>0</x:v>
      </x:c>
      <x:c r="H98" s="21" t="n">
        <x:f>ROUND(C98*D98,2)</x:f>
        <x:v>0</x:v>
      </x:c>
      <x:c r="I98" s="21" t="n">
        <x:f>ROUND(C98*E98*'تنظیمات'!$B$7,2)</x:f>
        <x:v>0</x:v>
      </x:c>
      <x:c r="J98" s="21" t="n">
        <x:f>ROUND(C98*F98,2)</x:f>
        <x:v>0</x:v>
      </x:c>
      <x:c r="K98" s="21" t="n">
        <x:f>ROUND((H98+I98+J98)*'تنظیمات'!$B$8,2)</x:f>
        <x:v>0</x:v>
      </x:c>
      <x:c r="L98" s="21" t="n">
        <x:f>SUM(H98:K98)</x:f>
        <x:v>0</x:v>
      </x:c>
      <x:c r="M98" s="21" t="n">
        <x:f>ROUND(MAX(0,L98-'تنظیمات'!$B$9)*'تنظیمات'!$B$10,2)</x:f>
        <x:v>0</x:v>
      </x:c>
      <x:c r="N98" s="21" t="n">
        <x:f>ROUND(MAX(0,L98*12-'تنظیمات'!$B$11)/12*'تنظیمات'!$B$12,2)</x:f>
        <x:v>0</x:v>
      </x:c>
      <x:c r="O98" s="21" t="n">
        <x:f>ROUND(L98*'تنظیمات'!$B$13,2)</x:f>
        <x:v>0</x:v>
      </x:c>
      <x:c r="P98" s="21" t="n">
        <x:f>ROUND((MIN(L98*12,'تنظیمات'!$B$17)*'تنظیمات'!$B$18+MAX(0,MIN(L98*12,'تنظیمات'!$B$19)-'تنظیمات'!$B$17)*'تنظیمات'!$B$20)/12,2)</x:f>
        <x:v>0</x:v>
      </x:c>
      <x:c r="Q98" s="21" t="n">
        <x:f>ROUND(MIN(L98*12,'تنظیمات'!$B$21)*'تنظیمات'!$B$22/12,2)</x:f>
        <x:v>0</x:v>
      </x:c>
      <x:c r="R98" s="21" t="n">
        <x:f>ROUND(MIN('تنظیمات'!$B$16,MAX(0,L98*12-'تنظیمات'!$B$14)*'تنظیمات'!$B$15)/12,2)</x:f>
        <x:v>0</x:v>
      </x:c>
      <x:c r="S98" s="21" t="n">
        <x:f>SUM(M98:R98)</x:f>
        <x:v>0</x:v>
      </x:c>
      <x:c r="T98" s="21" t="n">
        <x:f>L98-S98</x:f>
        <x:v>0</x:v>
      </x:c>
      <x:c r="U98" s="22" t="n">
        <x:f>'تنظیمات'!$B$5</x:f>
        <x:v>46266</x:v>
      </x:c>
      <x:c r="V98" s="22" t="n">
        <x:f>'تنظیمات'!$B$6</x:f>
        <x:v>46295</x:v>
      </x:c>
      <x:c r="W98" s="17" t="str">
        <x:f>IF(AND(A98&lt;&gt;"",T98&gt;=0),"OK","بررسی شود")</x:f>
        <x:v>بررسی شود</x:v>
      </x:c>
    </x:row>
    <x:row r="99">
      <x:c r="A99" s="13"/>
      <x:c r="B99" s="17" t="str">
        <x:f>IFERROR(VLOOKUP(A99,'کارمندان'!$A$5:$H$205,2,FALSE),"")</x:f>
      </x:c>
      <x:c r="C99" s="21" t="str">
        <x:f>IFERROR(VLOOKUP(A99,'کارمندان'!$A$5:$H$205,5,FALSE),0)</x:f>
      </x:c>
      <x:c r="D99" s="20" t="n">
        <x:f>SUMIFS('حضور و غیاب'!$J$5:$J$205,'حضور و غیاب'!$B$5:$B$205,$A99,'حضور و غیاب'!$A$5:$A$205,"&gt;="&amp;'تنظیمات'!$B$5,'حضور و غیاب'!$A$5:$A$205,"&lt;="&amp;'تنظیمات'!$B$6)</x:f>
        <x:v>0</x:v>
      </x:c>
      <x:c r="E99" s="20" t="n">
        <x:f>SUMIFS('حضور و غیاب'!$K$5:$K$205,'حضور و غیاب'!$B$5:$B$205,$A99,'حضور و غیاب'!$A$5:$A$205,"&gt;="&amp;'تنظیمات'!$B$5,'حضور و غیاب'!$A$5:$A$205,"&lt;="&amp;'تنظیمات'!$B$6)</x:f>
        <x:v>0</x:v>
      </x:c>
      <x:c r="F99" s="20" t="n">
        <x:f>SUMIFS('حضور و غیاب'!$G$5:$G$205,'حضور و غیاب'!$B$5:$B$205,$A99,'حضور و غیاب'!$F$5:$F$205,"Paid",'حضور و غیاب'!$A$5:$A$205,"&gt;="&amp;'تنظیمات'!$B$5,'حضور و غیاب'!$A$5:$A$205,"&lt;="&amp;'تنظیمات'!$B$6)</x:f>
        <x:v>0</x:v>
      </x:c>
      <x:c r="G99" s="20" t="n">
        <x:f>SUMIFS('حضور و غیاب'!$L$5:$L$205,'حضور و غیاب'!$B$5:$B$205,$A99,'حضور و غیاب'!$A$5:$A$205,"&gt;="&amp;'تنظیمات'!$B$5,'حضور و غیاب'!$A$5:$A$205,"&lt;="&amp;'تنظیمات'!$B$6)</x:f>
        <x:v>0</x:v>
      </x:c>
      <x:c r="H99" s="21" t="n">
        <x:f>ROUND(C99*D99,2)</x:f>
        <x:v>0</x:v>
      </x:c>
      <x:c r="I99" s="21" t="n">
        <x:f>ROUND(C99*E99*'تنظیمات'!$B$7,2)</x:f>
        <x:v>0</x:v>
      </x:c>
      <x:c r="J99" s="21" t="n">
        <x:f>ROUND(C99*F99,2)</x:f>
        <x:v>0</x:v>
      </x:c>
      <x:c r="K99" s="21" t="n">
        <x:f>ROUND((H99+I99+J99)*'تنظیمات'!$B$8,2)</x:f>
        <x:v>0</x:v>
      </x:c>
      <x:c r="L99" s="21" t="n">
        <x:f>SUM(H99:K99)</x:f>
        <x:v>0</x:v>
      </x:c>
      <x:c r="M99" s="21" t="n">
        <x:f>ROUND(MAX(0,L99-'تنظیمات'!$B$9)*'تنظیمات'!$B$10,2)</x:f>
        <x:v>0</x:v>
      </x:c>
      <x:c r="N99" s="21" t="n">
        <x:f>ROUND(MAX(0,L99*12-'تنظیمات'!$B$11)/12*'تنظیمات'!$B$12,2)</x:f>
        <x:v>0</x:v>
      </x:c>
      <x:c r="O99" s="21" t="n">
        <x:f>ROUND(L99*'تنظیمات'!$B$13,2)</x:f>
        <x:v>0</x:v>
      </x:c>
      <x:c r="P99" s="21" t="n">
        <x:f>ROUND((MIN(L99*12,'تنظیمات'!$B$17)*'تنظیمات'!$B$18+MAX(0,MIN(L99*12,'تنظیمات'!$B$19)-'تنظیمات'!$B$17)*'تنظیمات'!$B$20)/12,2)</x:f>
        <x:v>0</x:v>
      </x:c>
      <x:c r="Q99" s="21" t="n">
        <x:f>ROUND(MIN(L99*12,'تنظیمات'!$B$21)*'تنظیمات'!$B$22/12,2)</x:f>
        <x:v>0</x:v>
      </x:c>
      <x:c r="R99" s="21" t="n">
        <x:f>ROUND(MIN('تنظیمات'!$B$16,MAX(0,L99*12-'تنظیمات'!$B$14)*'تنظیمات'!$B$15)/12,2)</x:f>
        <x:v>0</x:v>
      </x:c>
      <x:c r="S99" s="21" t="n">
        <x:f>SUM(M99:R99)</x:f>
        <x:v>0</x:v>
      </x:c>
      <x:c r="T99" s="21" t="n">
        <x:f>L99-S99</x:f>
        <x:v>0</x:v>
      </x:c>
      <x:c r="U99" s="22" t="n">
        <x:f>'تنظیمات'!$B$5</x:f>
        <x:v>46266</x:v>
      </x:c>
      <x:c r="V99" s="22" t="n">
        <x:f>'تنظیمات'!$B$6</x:f>
        <x:v>46295</x:v>
      </x:c>
      <x:c r="W99" s="17" t="str">
        <x:f>IF(AND(A99&lt;&gt;"",T99&gt;=0),"OK","بررسی شود")</x:f>
        <x:v>بررسی شود</x:v>
      </x:c>
    </x:row>
    <x:row r="100">
      <x:c r="A100" s="13"/>
      <x:c r="B100" s="17" t="str">
        <x:f>IFERROR(VLOOKUP(A100,'کارمندان'!$A$5:$H$205,2,FALSE),"")</x:f>
      </x:c>
      <x:c r="C100" s="21" t="str">
        <x:f>IFERROR(VLOOKUP(A100,'کارمندان'!$A$5:$H$205,5,FALSE),0)</x:f>
      </x:c>
      <x:c r="D100" s="20" t="n">
        <x:f>SUMIFS('حضور و غیاب'!$J$5:$J$205,'حضور و غیاب'!$B$5:$B$205,$A100,'حضور و غیاب'!$A$5:$A$205,"&gt;="&amp;'تنظیمات'!$B$5,'حضور و غیاب'!$A$5:$A$205,"&lt;="&amp;'تنظیمات'!$B$6)</x:f>
        <x:v>0</x:v>
      </x:c>
      <x:c r="E100" s="20" t="n">
        <x:f>SUMIFS('حضور و غیاب'!$K$5:$K$205,'حضور و غیاب'!$B$5:$B$205,$A100,'حضور و غیاب'!$A$5:$A$205,"&gt;="&amp;'تنظیمات'!$B$5,'حضور و غیاب'!$A$5:$A$205,"&lt;="&amp;'تنظیمات'!$B$6)</x:f>
        <x:v>0</x:v>
      </x:c>
      <x:c r="F100" s="20" t="n">
        <x:f>SUMIFS('حضور و غیاب'!$G$5:$G$205,'حضور و غیاب'!$B$5:$B$205,$A100,'حضور و غیاب'!$F$5:$F$205,"Paid",'حضور و غیاب'!$A$5:$A$205,"&gt;="&amp;'تنظیمات'!$B$5,'حضور و غیاب'!$A$5:$A$205,"&lt;="&amp;'تنظیمات'!$B$6)</x:f>
        <x:v>0</x:v>
      </x:c>
      <x:c r="G100" s="20" t="n">
        <x:f>SUMIFS('حضور و غیاب'!$L$5:$L$205,'حضور و غیاب'!$B$5:$B$205,$A100,'حضور و غیاب'!$A$5:$A$205,"&gt;="&amp;'تنظیمات'!$B$5,'حضور و غیاب'!$A$5:$A$205,"&lt;="&amp;'تنظیمات'!$B$6)</x:f>
        <x:v>0</x:v>
      </x:c>
      <x:c r="H100" s="21" t="n">
        <x:f>ROUND(C100*D100,2)</x:f>
        <x:v>0</x:v>
      </x:c>
      <x:c r="I100" s="21" t="n">
        <x:f>ROUND(C100*E100*'تنظیمات'!$B$7,2)</x:f>
        <x:v>0</x:v>
      </x:c>
      <x:c r="J100" s="21" t="n">
        <x:f>ROUND(C100*F100,2)</x:f>
        <x:v>0</x:v>
      </x:c>
      <x:c r="K100" s="21" t="n">
        <x:f>ROUND((H100+I100+J100)*'تنظیمات'!$B$8,2)</x:f>
        <x:v>0</x:v>
      </x:c>
      <x:c r="L100" s="21" t="n">
        <x:f>SUM(H100:K100)</x:f>
        <x:v>0</x:v>
      </x:c>
      <x:c r="M100" s="21" t="n">
        <x:f>ROUND(MAX(0,L100-'تنظیمات'!$B$9)*'تنظیمات'!$B$10,2)</x:f>
        <x:v>0</x:v>
      </x:c>
      <x:c r="N100" s="21" t="n">
        <x:f>ROUND(MAX(0,L100*12-'تنظیمات'!$B$11)/12*'تنظیمات'!$B$12,2)</x:f>
        <x:v>0</x:v>
      </x:c>
      <x:c r="O100" s="21" t="n">
        <x:f>ROUND(L100*'تنظیمات'!$B$13,2)</x:f>
        <x:v>0</x:v>
      </x:c>
      <x:c r="P100" s="21" t="n">
        <x:f>ROUND((MIN(L100*12,'تنظیمات'!$B$17)*'تنظیمات'!$B$18+MAX(0,MIN(L100*12,'تنظیمات'!$B$19)-'تنظیمات'!$B$17)*'تنظیمات'!$B$20)/12,2)</x:f>
        <x:v>0</x:v>
      </x:c>
      <x:c r="Q100" s="21" t="n">
        <x:f>ROUND(MIN(L100*12,'تنظیمات'!$B$21)*'تنظیمات'!$B$22/12,2)</x:f>
        <x:v>0</x:v>
      </x:c>
      <x:c r="R100" s="21" t="n">
        <x:f>ROUND(MIN('تنظیمات'!$B$16,MAX(0,L100*12-'تنظیمات'!$B$14)*'تنظیمات'!$B$15)/12,2)</x:f>
        <x:v>0</x:v>
      </x:c>
      <x:c r="S100" s="21" t="n">
        <x:f>SUM(M100:R100)</x:f>
        <x:v>0</x:v>
      </x:c>
      <x:c r="T100" s="21" t="n">
        <x:f>L100-S100</x:f>
        <x:v>0</x:v>
      </x:c>
      <x:c r="U100" s="22" t="n">
        <x:f>'تنظیمات'!$B$5</x:f>
        <x:v>46266</x:v>
      </x:c>
      <x:c r="V100" s="22" t="n">
        <x:f>'تنظیمات'!$B$6</x:f>
        <x:v>46295</x:v>
      </x:c>
      <x:c r="W100" s="17" t="str">
        <x:f>IF(AND(A100&lt;&gt;"",T100&gt;=0),"OK","بررسی شود")</x:f>
        <x:v>بررسی شود</x:v>
      </x:c>
    </x:row>
    <x:row r="101">
      <x:c r="A101" s="13"/>
      <x:c r="B101" s="17" t="str">
        <x:f>IFERROR(VLOOKUP(A101,'کارمندان'!$A$5:$H$205,2,FALSE),"")</x:f>
      </x:c>
      <x:c r="C101" s="21" t="str">
        <x:f>IFERROR(VLOOKUP(A101,'کارمندان'!$A$5:$H$205,5,FALSE),0)</x:f>
      </x:c>
      <x:c r="D101" s="20" t="n">
        <x:f>SUMIFS('حضور و غیاب'!$J$5:$J$205,'حضور و غیاب'!$B$5:$B$205,$A101,'حضور و غیاب'!$A$5:$A$205,"&gt;="&amp;'تنظیمات'!$B$5,'حضور و غیاب'!$A$5:$A$205,"&lt;="&amp;'تنظیمات'!$B$6)</x:f>
        <x:v>0</x:v>
      </x:c>
      <x:c r="E101" s="20" t="n">
        <x:f>SUMIFS('حضور و غیاب'!$K$5:$K$205,'حضور و غیاب'!$B$5:$B$205,$A101,'حضور و غیاب'!$A$5:$A$205,"&gt;="&amp;'تنظیمات'!$B$5,'حضور و غیاب'!$A$5:$A$205,"&lt;="&amp;'تنظیمات'!$B$6)</x:f>
        <x:v>0</x:v>
      </x:c>
      <x:c r="F101" s="20" t="n">
        <x:f>SUMIFS('حضور و غیاب'!$G$5:$G$205,'حضور و غیاب'!$B$5:$B$205,$A101,'حضور و غیاب'!$F$5:$F$205,"Paid",'حضور و غیاب'!$A$5:$A$205,"&gt;="&amp;'تنظیمات'!$B$5,'حضور و غیاب'!$A$5:$A$205,"&lt;="&amp;'تنظیمات'!$B$6)</x:f>
        <x:v>0</x:v>
      </x:c>
      <x:c r="G101" s="20" t="n">
        <x:f>SUMIFS('حضور و غیاب'!$L$5:$L$205,'حضور و غیاب'!$B$5:$B$205,$A101,'حضور و غیاب'!$A$5:$A$205,"&gt;="&amp;'تنظیمات'!$B$5,'حضور و غیاب'!$A$5:$A$205,"&lt;="&amp;'تنظیمات'!$B$6)</x:f>
        <x:v>0</x:v>
      </x:c>
      <x:c r="H101" s="21" t="n">
        <x:f>ROUND(C101*D101,2)</x:f>
        <x:v>0</x:v>
      </x:c>
      <x:c r="I101" s="21" t="n">
        <x:f>ROUND(C101*E101*'تنظیمات'!$B$7,2)</x:f>
        <x:v>0</x:v>
      </x:c>
      <x:c r="J101" s="21" t="n">
        <x:f>ROUND(C101*F101,2)</x:f>
        <x:v>0</x:v>
      </x:c>
      <x:c r="K101" s="21" t="n">
        <x:f>ROUND((H101+I101+J101)*'تنظیمات'!$B$8,2)</x:f>
        <x:v>0</x:v>
      </x:c>
      <x:c r="L101" s="21" t="n">
        <x:f>SUM(H101:K101)</x:f>
        <x:v>0</x:v>
      </x:c>
      <x:c r="M101" s="21" t="n">
        <x:f>ROUND(MAX(0,L101-'تنظیمات'!$B$9)*'تنظیمات'!$B$10,2)</x:f>
        <x:v>0</x:v>
      </x:c>
      <x:c r="N101" s="21" t="n">
        <x:f>ROUND(MAX(0,L101*12-'تنظیمات'!$B$11)/12*'تنظیمات'!$B$12,2)</x:f>
        <x:v>0</x:v>
      </x:c>
      <x:c r="O101" s="21" t="n">
        <x:f>ROUND(L101*'تنظیمات'!$B$13,2)</x:f>
        <x:v>0</x:v>
      </x:c>
      <x:c r="P101" s="21" t="n">
        <x:f>ROUND((MIN(L101*12,'تنظیمات'!$B$17)*'تنظیمات'!$B$18+MAX(0,MIN(L101*12,'تنظیمات'!$B$19)-'تنظیمات'!$B$17)*'تنظیمات'!$B$20)/12,2)</x:f>
        <x:v>0</x:v>
      </x:c>
      <x:c r="Q101" s="21" t="n">
        <x:f>ROUND(MIN(L101*12,'تنظیمات'!$B$21)*'تنظیمات'!$B$22/12,2)</x:f>
        <x:v>0</x:v>
      </x:c>
      <x:c r="R101" s="21" t="n">
        <x:f>ROUND(MIN('تنظیمات'!$B$16,MAX(0,L101*12-'تنظیمات'!$B$14)*'تنظیمات'!$B$15)/12,2)</x:f>
        <x:v>0</x:v>
      </x:c>
      <x:c r="S101" s="21" t="n">
        <x:f>SUM(M101:R101)</x:f>
        <x:v>0</x:v>
      </x:c>
      <x:c r="T101" s="21" t="n">
        <x:f>L101-S101</x:f>
        <x:v>0</x:v>
      </x:c>
      <x:c r="U101" s="22" t="n">
        <x:f>'تنظیمات'!$B$5</x:f>
        <x:v>46266</x:v>
      </x:c>
      <x:c r="V101" s="22" t="n">
        <x:f>'تنظیمات'!$B$6</x:f>
        <x:v>46295</x:v>
      </x:c>
      <x:c r="W101" s="17" t="str">
        <x:f>IF(AND(A101&lt;&gt;"",T101&gt;=0),"OK","بررسی شود")</x:f>
        <x:v>بررسی شود</x:v>
      </x:c>
    </x:row>
    <x:row r="102">
      <x:c r="A102" s="13"/>
      <x:c r="B102" s="17" t="str">
        <x:f>IFERROR(VLOOKUP(A102,'کارمندان'!$A$5:$H$205,2,FALSE),"")</x:f>
      </x:c>
      <x:c r="C102" s="21" t="str">
        <x:f>IFERROR(VLOOKUP(A102,'کارمندان'!$A$5:$H$205,5,FALSE),0)</x:f>
      </x:c>
      <x:c r="D102" s="20" t="n">
        <x:f>SUMIFS('حضور و غیاب'!$J$5:$J$205,'حضور و غیاب'!$B$5:$B$205,$A102,'حضور و غیاب'!$A$5:$A$205,"&gt;="&amp;'تنظیمات'!$B$5,'حضور و غیاب'!$A$5:$A$205,"&lt;="&amp;'تنظیمات'!$B$6)</x:f>
        <x:v>0</x:v>
      </x:c>
      <x:c r="E102" s="20" t="n">
        <x:f>SUMIFS('حضور و غیاب'!$K$5:$K$205,'حضور و غیاب'!$B$5:$B$205,$A102,'حضور و غیاب'!$A$5:$A$205,"&gt;="&amp;'تنظیمات'!$B$5,'حضور و غیاب'!$A$5:$A$205,"&lt;="&amp;'تنظیمات'!$B$6)</x:f>
        <x:v>0</x:v>
      </x:c>
      <x:c r="F102" s="20" t="n">
        <x:f>SUMIFS('حضور و غیاب'!$G$5:$G$205,'حضور و غیاب'!$B$5:$B$205,$A102,'حضور و غیاب'!$F$5:$F$205,"Paid",'حضور و غیاب'!$A$5:$A$205,"&gt;="&amp;'تنظیمات'!$B$5,'حضور و غیاب'!$A$5:$A$205,"&lt;="&amp;'تنظیمات'!$B$6)</x:f>
        <x:v>0</x:v>
      </x:c>
      <x:c r="G102" s="20" t="n">
        <x:f>SUMIFS('حضور و غیاب'!$L$5:$L$205,'حضور و غیاب'!$B$5:$B$205,$A102,'حضور و غیاب'!$A$5:$A$205,"&gt;="&amp;'تنظیمات'!$B$5,'حضور و غیاب'!$A$5:$A$205,"&lt;="&amp;'تنظیمات'!$B$6)</x:f>
        <x:v>0</x:v>
      </x:c>
      <x:c r="H102" s="21" t="n">
        <x:f>ROUND(C102*D102,2)</x:f>
        <x:v>0</x:v>
      </x:c>
      <x:c r="I102" s="21" t="n">
        <x:f>ROUND(C102*E102*'تنظیمات'!$B$7,2)</x:f>
        <x:v>0</x:v>
      </x:c>
      <x:c r="J102" s="21" t="n">
        <x:f>ROUND(C102*F102,2)</x:f>
        <x:v>0</x:v>
      </x:c>
      <x:c r="K102" s="21" t="n">
        <x:f>ROUND((H102+I102+J102)*'تنظیمات'!$B$8,2)</x:f>
        <x:v>0</x:v>
      </x:c>
      <x:c r="L102" s="21" t="n">
        <x:f>SUM(H102:K102)</x:f>
        <x:v>0</x:v>
      </x:c>
      <x:c r="M102" s="21" t="n">
        <x:f>ROUND(MAX(0,L102-'تنظیمات'!$B$9)*'تنظیمات'!$B$10,2)</x:f>
        <x:v>0</x:v>
      </x:c>
      <x:c r="N102" s="21" t="n">
        <x:f>ROUND(MAX(0,L102*12-'تنظیمات'!$B$11)/12*'تنظیمات'!$B$12,2)</x:f>
        <x:v>0</x:v>
      </x:c>
      <x:c r="O102" s="21" t="n">
        <x:f>ROUND(L102*'تنظیمات'!$B$13,2)</x:f>
        <x:v>0</x:v>
      </x:c>
      <x:c r="P102" s="21" t="n">
        <x:f>ROUND((MIN(L102*12,'تنظیمات'!$B$17)*'تنظیمات'!$B$18+MAX(0,MIN(L102*12,'تنظیمات'!$B$19)-'تنظیمات'!$B$17)*'تنظیمات'!$B$20)/12,2)</x:f>
        <x:v>0</x:v>
      </x:c>
      <x:c r="Q102" s="21" t="n">
        <x:f>ROUND(MIN(L102*12,'تنظیمات'!$B$21)*'تنظیمات'!$B$22/12,2)</x:f>
        <x:v>0</x:v>
      </x:c>
      <x:c r="R102" s="21" t="n">
        <x:f>ROUND(MIN('تنظیمات'!$B$16,MAX(0,L102*12-'تنظیمات'!$B$14)*'تنظیمات'!$B$15)/12,2)</x:f>
        <x:v>0</x:v>
      </x:c>
      <x:c r="S102" s="21" t="n">
        <x:f>SUM(M102:R102)</x:f>
        <x:v>0</x:v>
      </x:c>
      <x:c r="T102" s="21" t="n">
        <x:f>L102-S102</x:f>
        <x:v>0</x:v>
      </x:c>
      <x:c r="U102" s="22" t="n">
        <x:f>'تنظیمات'!$B$5</x:f>
        <x:v>46266</x:v>
      </x:c>
      <x:c r="V102" s="22" t="n">
        <x:f>'تنظیمات'!$B$6</x:f>
        <x:v>46295</x:v>
      </x:c>
      <x:c r="W102" s="17" t="str">
        <x:f>IF(AND(A102&lt;&gt;"",T102&gt;=0),"OK","بررسی شود")</x:f>
        <x:v>بررسی شود</x:v>
      </x:c>
    </x:row>
    <x:row r="103">
      <x:c r="A103" s="13"/>
      <x:c r="B103" s="17" t="str">
        <x:f>IFERROR(VLOOKUP(A103,'کارمندان'!$A$5:$H$205,2,FALSE),"")</x:f>
      </x:c>
      <x:c r="C103" s="21" t="str">
        <x:f>IFERROR(VLOOKUP(A103,'کارمندان'!$A$5:$H$205,5,FALSE),0)</x:f>
      </x:c>
      <x:c r="D103" s="20" t="n">
        <x:f>SUMIFS('حضور و غیاب'!$J$5:$J$205,'حضور و غیاب'!$B$5:$B$205,$A103,'حضور و غیاب'!$A$5:$A$205,"&gt;="&amp;'تنظیمات'!$B$5,'حضور و غیاب'!$A$5:$A$205,"&lt;="&amp;'تنظیمات'!$B$6)</x:f>
        <x:v>0</x:v>
      </x:c>
      <x:c r="E103" s="20" t="n">
        <x:f>SUMIFS('حضور و غیاب'!$K$5:$K$205,'حضور و غیاب'!$B$5:$B$205,$A103,'حضور و غیاب'!$A$5:$A$205,"&gt;="&amp;'تنظیمات'!$B$5,'حضور و غیاب'!$A$5:$A$205,"&lt;="&amp;'تنظیمات'!$B$6)</x:f>
        <x:v>0</x:v>
      </x:c>
      <x:c r="F103" s="20" t="n">
        <x:f>SUMIFS('حضور و غیاب'!$G$5:$G$205,'حضور و غیاب'!$B$5:$B$205,$A103,'حضور و غیاب'!$F$5:$F$205,"Paid",'حضور و غیاب'!$A$5:$A$205,"&gt;="&amp;'تنظیمات'!$B$5,'حضور و غیاب'!$A$5:$A$205,"&lt;="&amp;'تنظیمات'!$B$6)</x:f>
        <x:v>0</x:v>
      </x:c>
      <x:c r="G103" s="20" t="n">
        <x:f>SUMIFS('حضور و غیاب'!$L$5:$L$205,'حضور و غیاب'!$B$5:$B$205,$A103,'حضور و غیاب'!$A$5:$A$205,"&gt;="&amp;'تنظیمات'!$B$5,'حضور و غیاب'!$A$5:$A$205,"&lt;="&amp;'تنظیمات'!$B$6)</x:f>
        <x:v>0</x:v>
      </x:c>
      <x:c r="H103" s="21" t="n">
        <x:f>ROUND(C103*D103,2)</x:f>
        <x:v>0</x:v>
      </x:c>
      <x:c r="I103" s="21" t="n">
        <x:f>ROUND(C103*E103*'تنظیمات'!$B$7,2)</x:f>
        <x:v>0</x:v>
      </x:c>
      <x:c r="J103" s="21" t="n">
        <x:f>ROUND(C103*F103,2)</x:f>
        <x:v>0</x:v>
      </x:c>
      <x:c r="K103" s="21" t="n">
        <x:f>ROUND((H103+I103+J103)*'تنظیمات'!$B$8,2)</x:f>
        <x:v>0</x:v>
      </x:c>
      <x:c r="L103" s="21" t="n">
        <x:f>SUM(H103:K103)</x:f>
        <x:v>0</x:v>
      </x:c>
      <x:c r="M103" s="21" t="n">
        <x:f>ROUND(MAX(0,L103-'تنظیمات'!$B$9)*'تنظیمات'!$B$10,2)</x:f>
        <x:v>0</x:v>
      </x:c>
      <x:c r="N103" s="21" t="n">
        <x:f>ROUND(MAX(0,L103*12-'تنظیمات'!$B$11)/12*'تنظیمات'!$B$12,2)</x:f>
        <x:v>0</x:v>
      </x:c>
      <x:c r="O103" s="21" t="n">
        <x:f>ROUND(L103*'تنظیمات'!$B$13,2)</x:f>
        <x:v>0</x:v>
      </x:c>
      <x:c r="P103" s="21" t="n">
        <x:f>ROUND((MIN(L103*12,'تنظیمات'!$B$17)*'تنظیمات'!$B$18+MAX(0,MIN(L103*12,'تنظیمات'!$B$19)-'تنظیمات'!$B$17)*'تنظیمات'!$B$20)/12,2)</x:f>
        <x:v>0</x:v>
      </x:c>
      <x:c r="Q103" s="21" t="n">
        <x:f>ROUND(MIN(L103*12,'تنظیمات'!$B$21)*'تنظیمات'!$B$22/12,2)</x:f>
        <x:v>0</x:v>
      </x:c>
      <x:c r="R103" s="21" t="n">
        <x:f>ROUND(MIN('تنظیمات'!$B$16,MAX(0,L103*12-'تنظیمات'!$B$14)*'تنظیمات'!$B$15)/12,2)</x:f>
        <x:v>0</x:v>
      </x:c>
      <x:c r="S103" s="21" t="n">
        <x:f>SUM(M103:R103)</x:f>
        <x:v>0</x:v>
      </x:c>
      <x:c r="T103" s="21" t="n">
        <x:f>L103-S103</x:f>
        <x:v>0</x:v>
      </x:c>
      <x:c r="U103" s="22" t="n">
        <x:f>'تنظیمات'!$B$5</x:f>
        <x:v>46266</x:v>
      </x:c>
      <x:c r="V103" s="22" t="n">
        <x:f>'تنظیمات'!$B$6</x:f>
        <x:v>46295</x:v>
      </x:c>
      <x:c r="W103" s="17" t="str">
        <x:f>IF(AND(A103&lt;&gt;"",T103&gt;=0),"OK","بررسی شود")</x:f>
        <x:v>بررسی شود</x:v>
      </x:c>
    </x:row>
    <x:row r="104">
      <x:c r="A104" s="13"/>
      <x:c r="B104" s="17" t="str">
        <x:f>IFERROR(VLOOKUP(A104,'کارمندان'!$A$5:$H$205,2,FALSE),"")</x:f>
      </x:c>
      <x:c r="C104" s="21" t="str">
        <x:f>IFERROR(VLOOKUP(A104,'کارمندان'!$A$5:$H$205,5,FALSE),0)</x:f>
      </x:c>
      <x:c r="D104" s="20" t="n">
        <x:f>SUMIFS('حضور و غیاب'!$J$5:$J$205,'حضور و غیاب'!$B$5:$B$205,$A104,'حضور و غیاب'!$A$5:$A$205,"&gt;="&amp;'تنظیمات'!$B$5,'حضور و غیاب'!$A$5:$A$205,"&lt;="&amp;'تنظیمات'!$B$6)</x:f>
        <x:v>0</x:v>
      </x:c>
      <x:c r="E104" s="20" t="n">
        <x:f>SUMIFS('حضور و غیاب'!$K$5:$K$205,'حضور و غیاب'!$B$5:$B$205,$A104,'حضور و غیاب'!$A$5:$A$205,"&gt;="&amp;'تنظیمات'!$B$5,'حضور و غیاب'!$A$5:$A$205,"&lt;="&amp;'تنظیمات'!$B$6)</x:f>
        <x:v>0</x:v>
      </x:c>
      <x:c r="F104" s="20" t="n">
        <x:f>SUMIFS('حضور و غیاب'!$G$5:$G$205,'حضور و غیاب'!$B$5:$B$205,$A104,'حضور و غیاب'!$F$5:$F$205,"Paid",'حضور و غیاب'!$A$5:$A$205,"&gt;="&amp;'تنظیمات'!$B$5,'حضور و غیاب'!$A$5:$A$205,"&lt;="&amp;'تنظیمات'!$B$6)</x:f>
        <x:v>0</x:v>
      </x:c>
      <x:c r="G104" s="20" t="n">
        <x:f>SUMIFS('حضور و غیاب'!$L$5:$L$205,'حضور و غیاب'!$B$5:$B$205,$A104,'حضور و غیاب'!$A$5:$A$205,"&gt;="&amp;'تنظیمات'!$B$5,'حضور و غیاب'!$A$5:$A$205,"&lt;="&amp;'تنظیمات'!$B$6)</x:f>
        <x:v>0</x:v>
      </x:c>
      <x:c r="H104" s="21" t="n">
        <x:f>ROUND(C104*D104,2)</x:f>
        <x:v>0</x:v>
      </x:c>
      <x:c r="I104" s="21" t="n">
        <x:f>ROUND(C104*E104*'تنظیمات'!$B$7,2)</x:f>
        <x:v>0</x:v>
      </x:c>
      <x:c r="J104" s="21" t="n">
        <x:f>ROUND(C104*F104,2)</x:f>
        <x:v>0</x:v>
      </x:c>
      <x:c r="K104" s="21" t="n">
        <x:f>ROUND((H104+I104+J104)*'تنظیمات'!$B$8,2)</x:f>
        <x:v>0</x:v>
      </x:c>
      <x:c r="L104" s="21" t="n">
        <x:f>SUM(H104:K104)</x:f>
        <x:v>0</x:v>
      </x:c>
      <x:c r="M104" s="21" t="n">
        <x:f>ROUND(MAX(0,L104-'تنظیمات'!$B$9)*'تنظیمات'!$B$10,2)</x:f>
        <x:v>0</x:v>
      </x:c>
      <x:c r="N104" s="21" t="n">
        <x:f>ROUND(MAX(0,L104*12-'تنظیمات'!$B$11)/12*'تنظیمات'!$B$12,2)</x:f>
        <x:v>0</x:v>
      </x:c>
      <x:c r="O104" s="21" t="n">
        <x:f>ROUND(L104*'تنظیمات'!$B$13,2)</x:f>
        <x:v>0</x:v>
      </x:c>
      <x:c r="P104" s="21" t="n">
        <x:f>ROUND((MIN(L104*12,'تنظیمات'!$B$17)*'تنظیمات'!$B$18+MAX(0,MIN(L104*12,'تنظیمات'!$B$19)-'تنظیمات'!$B$17)*'تنظیمات'!$B$20)/12,2)</x:f>
        <x:v>0</x:v>
      </x:c>
      <x:c r="Q104" s="21" t="n">
        <x:f>ROUND(MIN(L104*12,'تنظیمات'!$B$21)*'تنظیمات'!$B$22/12,2)</x:f>
        <x:v>0</x:v>
      </x:c>
      <x:c r="R104" s="21" t="n">
        <x:f>ROUND(MIN('تنظیمات'!$B$16,MAX(0,L104*12-'تنظیمات'!$B$14)*'تنظیمات'!$B$15)/12,2)</x:f>
        <x:v>0</x:v>
      </x:c>
      <x:c r="S104" s="21" t="n">
        <x:f>SUM(M104:R104)</x:f>
        <x:v>0</x:v>
      </x:c>
      <x:c r="T104" s="21" t="n">
        <x:f>L104-S104</x:f>
        <x:v>0</x:v>
      </x:c>
      <x:c r="U104" s="22" t="n">
        <x:f>'تنظیمات'!$B$5</x:f>
        <x:v>46266</x:v>
      </x:c>
      <x:c r="V104" s="22" t="n">
        <x:f>'تنظیمات'!$B$6</x:f>
        <x:v>46295</x:v>
      </x:c>
      <x:c r="W104" s="17" t="str">
        <x:f>IF(AND(A104&lt;&gt;"",T104&gt;=0),"OK","بررسی شود")</x:f>
        <x:v>بررسی شود</x:v>
      </x:c>
    </x:row>
    <x:row r="105">
      <x:c r="A105" s="13"/>
      <x:c r="B105" s="17" t="str">
        <x:f>IFERROR(VLOOKUP(A105,'کارمندان'!$A$5:$H$205,2,FALSE),"")</x:f>
      </x:c>
      <x:c r="C105" s="21" t="str">
        <x:f>IFERROR(VLOOKUP(A105,'کارمندان'!$A$5:$H$205,5,FALSE),0)</x:f>
      </x:c>
      <x:c r="D105" s="20" t="n">
        <x:f>SUMIFS('حضور و غیاب'!$J$5:$J$205,'حضور و غیاب'!$B$5:$B$205,$A105,'حضور و غیاب'!$A$5:$A$205,"&gt;="&amp;'تنظیمات'!$B$5,'حضور و غیاب'!$A$5:$A$205,"&lt;="&amp;'تنظیمات'!$B$6)</x:f>
        <x:v>0</x:v>
      </x:c>
      <x:c r="E105" s="20" t="n">
        <x:f>SUMIFS('حضور و غیاب'!$K$5:$K$205,'حضور و غیاب'!$B$5:$B$205,$A105,'حضور و غیاب'!$A$5:$A$205,"&gt;="&amp;'تنظیمات'!$B$5,'حضور و غیاب'!$A$5:$A$205,"&lt;="&amp;'تنظیمات'!$B$6)</x:f>
        <x:v>0</x:v>
      </x:c>
      <x:c r="F105" s="20" t="n">
        <x:f>SUMIFS('حضور و غیاب'!$G$5:$G$205,'حضور و غیاب'!$B$5:$B$205,$A105,'حضور و غیاب'!$F$5:$F$205,"Paid",'حضور و غیاب'!$A$5:$A$205,"&gt;="&amp;'تنظیمات'!$B$5,'حضور و غیاب'!$A$5:$A$205,"&lt;="&amp;'تنظیمات'!$B$6)</x:f>
        <x:v>0</x:v>
      </x:c>
      <x:c r="G105" s="20" t="n">
        <x:f>SUMIFS('حضور و غیاب'!$L$5:$L$205,'حضور و غیاب'!$B$5:$B$205,$A105,'حضور و غیاب'!$A$5:$A$205,"&gt;="&amp;'تنظیمات'!$B$5,'حضور و غیاب'!$A$5:$A$205,"&lt;="&amp;'تنظیمات'!$B$6)</x:f>
        <x:v>0</x:v>
      </x:c>
      <x:c r="H105" s="21" t="n">
        <x:f>ROUND(C105*D105,2)</x:f>
        <x:v>0</x:v>
      </x:c>
      <x:c r="I105" s="21" t="n">
        <x:f>ROUND(C105*E105*'تنظیمات'!$B$7,2)</x:f>
        <x:v>0</x:v>
      </x:c>
      <x:c r="J105" s="21" t="n">
        <x:f>ROUND(C105*F105,2)</x:f>
        <x:v>0</x:v>
      </x:c>
      <x:c r="K105" s="21" t="n">
        <x:f>ROUND((H105+I105+J105)*'تنظیمات'!$B$8,2)</x:f>
        <x:v>0</x:v>
      </x:c>
      <x:c r="L105" s="21" t="n">
        <x:f>SUM(H105:K105)</x:f>
        <x:v>0</x:v>
      </x:c>
      <x:c r="M105" s="21" t="n">
        <x:f>ROUND(MAX(0,L105-'تنظیمات'!$B$9)*'تنظیمات'!$B$10,2)</x:f>
        <x:v>0</x:v>
      </x:c>
      <x:c r="N105" s="21" t="n">
        <x:f>ROUND(MAX(0,L105*12-'تنظیمات'!$B$11)/12*'تنظیمات'!$B$12,2)</x:f>
        <x:v>0</x:v>
      </x:c>
      <x:c r="O105" s="21" t="n">
        <x:f>ROUND(L105*'تنظیمات'!$B$13,2)</x:f>
        <x:v>0</x:v>
      </x:c>
      <x:c r="P105" s="21" t="n">
        <x:f>ROUND((MIN(L105*12,'تنظیمات'!$B$17)*'تنظیمات'!$B$18+MAX(0,MIN(L105*12,'تنظیمات'!$B$19)-'تنظیمات'!$B$17)*'تنظیمات'!$B$20)/12,2)</x:f>
        <x:v>0</x:v>
      </x:c>
      <x:c r="Q105" s="21" t="n">
        <x:f>ROUND(MIN(L105*12,'تنظیمات'!$B$21)*'تنظیمات'!$B$22/12,2)</x:f>
        <x:v>0</x:v>
      </x:c>
      <x:c r="R105" s="21" t="n">
        <x:f>ROUND(MIN('تنظیمات'!$B$16,MAX(0,L105*12-'تنظیمات'!$B$14)*'تنظیمات'!$B$15)/12,2)</x:f>
        <x:v>0</x:v>
      </x:c>
      <x:c r="S105" s="21" t="n">
        <x:f>SUM(M105:R105)</x:f>
        <x:v>0</x:v>
      </x:c>
      <x:c r="T105" s="21" t="n">
        <x:f>L105-S105</x:f>
        <x:v>0</x:v>
      </x:c>
      <x:c r="U105" s="22" t="n">
        <x:f>'تنظیمات'!$B$5</x:f>
        <x:v>46266</x:v>
      </x:c>
      <x:c r="V105" s="22" t="n">
        <x:f>'تنظیمات'!$B$6</x:f>
        <x:v>46295</x:v>
      </x:c>
      <x:c r="W105" s="17" t="str">
        <x:f>IF(AND(A105&lt;&gt;"",T105&gt;=0),"OK","بررسی شود")</x:f>
        <x:v>بررسی شود</x:v>
      </x:c>
    </x:row>
    <x:row r="106">
      <x:c r="A106" s="13"/>
      <x:c r="B106" s="17" t="str">
        <x:f>IFERROR(VLOOKUP(A106,'کارمندان'!$A$5:$H$205,2,FALSE),"")</x:f>
      </x:c>
      <x:c r="C106" s="21" t="str">
        <x:f>IFERROR(VLOOKUP(A106,'کارمندان'!$A$5:$H$205,5,FALSE),0)</x:f>
      </x:c>
      <x:c r="D106" s="20" t="n">
        <x:f>SUMIFS('حضور و غیاب'!$J$5:$J$205,'حضور و غیاب'!$B$5:$B$205,$A106,'حضور و غیاب'!$A$5:$A$205,"&gt;="&amp;'تنظیمات'!$B$5,'حضور و غیاب'!$A$5:$A$205,"&lt;="&amp;'تنظیمات'!$B$6)</x:f>
        <x:v>0</x:v>
      </x:c>
      <x:c r="E106" s="20" t="n">
        <x:f>SUMIFS('حضور و غیاب'!$K$5:$K$205,'حضور و غیاب'!$B$5:$B$205,$A106,'حضور و غیاب'!$A$5:$A$205,"&gt;="&amp;'تنظیمات'!$B$5,'حضور و غیاب'!$A$5:$A$205,"&lt;="&amp;'تنظیمات'!$B$6)</x:f>
        <x:v>0</x:v>
      </x:c>
      <x:c r="F106" s="20" t="n">
        <x:f>SUMIFS('حضور و غیاب'!$G$5:$G$205,'حضور و غیاب'!$B$5:$B$205,$A106,'حضور و غیاب'!$F$5:$F$205,"Paid",'حضور و غیاب'!$A$5:$A$205,"&gt;="&amp;'تنظیمات'!$B$5,'حضور و غیاب'!$A$5:$A$205,"&lt;="&amp;'تنظیمات'!$B$6)</x:f>
        <x:v>0</x:v>
      </x:c>
      <x:c r="G106" s="20" t="n">
        <x:f>SUMIFS('حضور و غیاب'!$L$5:$L$205,'حضور و غیاب'!$B$5:$B$205,$A106,'حضور و غیاب'!$A$5:$A$205,"&gt;="&amp;'تنظیمات'!$B$5,'حضور و غیاب'!$A$5:$A$205,"&lt;="&amp;'تنظیمات'!$B$6)</x:f>
        <x:v>0</x:v>
      </x:c>
      <x:c r="H106" s="21" t="n">
        <x:f>ROUND(C106*D106,2)</x:f>
        <x:v>0</x:v>
      </x:c>
      <x:c r="I106" s="21" t="n">
        <x:f>ROUND(C106*E106*'تنظیمات'!$B$7,2)</x:f>
        <x:v>0</x:v>
      </x:c>
      <x:c r="J106" s="21" t="n">
        <x:f>ROUND(C106*F106,2)</x:f>
        <x:v>0</x:v>
      </x:c>
      <x:c r="K106" s="21" t="n">
        <x:f>ROUND((H106+I106+J106)*'تنظیمات'!$B$8,2)</x:f>
        <x:v>0</x:v>
      </x:c>
      <x:c r="L106" s="21" t="n">
        <x:f>SUM(H106:K106)</x:f>
        <x:v>0</x:v>
      </x:c>
      <x:c r="M106" s="21" t="n">
        <x:f>ROUND(MAX(0,L106-'تنظیمات'!$B$9)*'تنظیمات'!$B$10,2)</x:f>
        <x:v>0</x:v>
      </x:c>
      <x:c r="N106" s="21" t="n">
        <x:f>ROUND(MAX(0,L106*12-'تنظیمات'!$B$11)/12*'تنظیمات'!$B$12,2)</x:f>
        <x:v>0</x:v>
      </x:c>
      <x:c r="O106" s="21" t="n">
        <x:f>ROUND(L106*'تنظیمات'!$B$13,2)</x:f>
        <x:v>0</x:v>
      </x:c>
      <x:c r="P106" s="21" t="n">
        <x:f>ROUND((MIN(L106*12,'تنظیمات'!$B$17)*'تنظیمات'!$B$18+MAX(0,MIN(L106*12,'تنظیمات'!$B$19)-'تنظیمات'!$B$17)*'تنظیمات'!$B$20)/12,2)</x:f>
        <x:v>0</x:v>
      </x:c>
      <x:c r="Q106" s="21" t="n">
        <x:f>ROUND(MIN(L106*12,'تنظیمات'!$B$21)*'تنظیمات'!$B$22/12,2)</x:f>
        <x:v>0</x:v>
      </x:c>
      <x:c r="R106" s="21" t="n">
        <x:f>ROUND(MIN('تنظیمات'!$B$16,MAX(0,L106*12-'تنظیمات'!$B$14)*'تنظیمات'!$B$15)/12,2)</x:f>
        <x:v>0</x:v>
      </x:c>
      <x:c r="S106" s="21" t="n">
        <x:f>SUM(M106:R106)</x:f>
        <x:v>0</x:v>
      </x:c>
      <x:c r="T106" s="21" t="n">
        <x:f>L106-S106</x:f>
        <x:v>0</x:v>
      </x:c>
      <x:c r="U106" s="22" t="n">
        <x:f>'تنظیمات'!$B$5</x:f>
        <x:v>46266</x:v>
      </x:c>
      <x:c r="V106" s="22" t="n">
        <x:f>'تنظیمات'!$B$6</x:f>
        <x:v>46295</x:v>
      </x:c>
      <x:c r="W106" s="17" t="str">
        <x:f>IF(AND(A106&lt;&gt;"",T106&gt;=0),"OK","بررسی شود")</x:f>
        <x:v>بررسی شود</x:v>
      </x:c>
    </x:row>
    <x:row r="107">
      <x:c r="A107" s="13"/>
      <x:c r="B107" s="17" t="str">
        <x:f>IFERROR(VLOOKUP(A107,'کارمندان'!$A$5:$H$205,2,FALSE),"")</x:f>
      </x:c>
      <x:c r="C107" s="21" t="str">
        <x:f>IFERROR(VLOOKUP(A107,'کارمندان'!$A$5:$H$205,5,FALSE),0)</x:f>
      </x:c>
      <x:c r="D107" s="20" t="n">
        <x:f>SUMIFS('حضور و غیاب'!$J$5:$J$205,'حضور و غیاب'!$B$5:$B$205,$A107,'حضور و غیاب'!$A$5:$A$205,"&gt;="&amp;'تنظیمات'!$B$5,'حضور و غیاب'!$A$5:$A$205,"&lt;="&amp;'تنظیمات'!$B$6)</x:f>
        <x:v>0</x:v>
      </x:c>
      <x:c r="E107" s="20" t="n">
        <x:f>SUMIFS('حضور و غیاب'!$K$5:$K$205,'حضور و غیاب'!$B$5:$B$205,$A107,'حضور و غیاب'!$A$5:$A$205,"&gt;="&amp;'تنظیمات'!$B$5,'حضور و غیاب'!$A$5:$A$205,"&lt;="&amp;'تنظیمات'!$B$6)</x:f>
        <x:v>0</x:v>
      </x:c>
      <x:c r="F107" s="20" t="n">
        <x:f>SUMIFS('حضور و غیاب'!$G$5:$G$205,'حضور و غیاب'!$B$5:$B$205,$A107,'حضور و غیاب'!$F$5:$F$205,"Paid",'حضور و غیاب'!$A$5:$A$205,"&gt;="&amp;'تنظیمات'!$B$5,'حضور و غیاب'!$A$5:$A$205,"&lt;="&amp;'تنظیمات'!$B$6)</x:f>
        <x:v>0</x:v>
      </x:c>
      <x:c r="G107" s="20" t="n">
        <x:f>SUMIFS('حضور و غیاب'!$L$5:$L$205,'حضور و غیاب'!$B$5:$B$205,$A107,'حضور و غیاب'!$A$5:$A$205,"&gt;="&amp;'تنظیمات'!$B$5,'حضور و غیاب'!$A$5:$A$205,"&lt;="&amp;'تنظیمات'!$B$6)</x:f>
        <x:v>0</x:v>
      </x:c>
      <x:c r="H107" s="21" t="n">
        <x:f>ROUND(C107*D107,2)</x:f>
        <x:v>0</x:v>
      </x:c>
      <x:c r="I107" s="21" t="n">
        <x:f>ROUND(C107*E107*'تنظیمات'!$B$7,2)</x:f>
        <x:v>0</x:v>
      </x:c>
      <x:c r="J107" s="21" t="n">
        <x:f>ROUND(C107*F107,2)</x:f>
        <x:v>0</x:v>
      </x:c>
      <x:c r="K107" s="21" t="n">
        <x:f>ROUND((H107+I107+J107)*'تنظیمات'!$B$8,2)</x:f>
        <x:v>0</x:v>
      </x:c>
      <x:c r="L107" s="21" t="n">
        <x:f>SUM(H107:K107)</x:f>
        <x:v>0</x:v>
      </x:c>
      <x:c r="M107" s="21" t="n">
        <x:f>ROUND(MAX(0,L107-'تنظیمات'!$B$9)*'تنظیمات'!$B$10,2)</x:f>
        <x:v>0</x:v>
      </x:c>
      <x:c r="N107" s="21" t="n">
        <x:f>ROUND(MAX(0,L107*12-'تنظیمات'!$B$11)/12*'تنظیمات'!$B$12,2)</x:f>
        <x:v>0</x:v>
      </x:c>
      <x:c r="O107" s="21" t="n">
        <x:f>ROUND(L107*'تنظیمات'!$B$13,2)</x:f>
        <x:v>0</x:v>
      </x:c>
      <x:c r="P107" s="21" t="n">
        <x:f>ROUND((MIN(L107*12,'تنظیمات'!$B$17)*'تنظیمات'!$B$18+MAX(0,MIN(L107*12,'تنظیمات'!$B$19)-'تنظیمات'!$B$17)*'تنظیمات'!$B$20)/12,2)</x:f>
        <x:v>0</x:v>
      </x:c>
      <x:c r="Q107" s="21" t="n">
        <x:f>ROUND(MIN(L107*12,'تنظیمات'!$B$21)*'تنظیمات'!$B$22/12,2)</x:f>
        <x:v>0</x:v>
      </x:c>
      <x:c r="R107" s="21" t="n">
        <x:f>ROUND(MIN('تنظیمات'!$B$16,MAX(0,L107*12-'تنظیمات'!$B$14)*'تنظیمات'!$B$15)/12,2)</x:f>
        <x:v>0</x:v>
      </x:c>
      <x:c r="S107" s="21" t="n">
        <x:f>SUM(M107:R107)</x:f>
        <x:v>0</x:v>
      </x:c>
      <x:c r="T107" s="21" t="n">
        <x:f>L107-S107</x:f>
        <x:v>0</x:v>
      </x:c>
      <x:c r="U107" s="22" t="n">
        <x:f>'تنظیمات'!$B$5</x:f>
        <x:v>46266</x:v>
      </x:c>
      <x:c r="V107" s="22" t="n">
        <x:f>'تنظیمات'!$B$6</x:f>
        <x:v>46295</x:v>
      </x:c>
      <x:c r="W107" s="17" t="str">
        <x:f>IF(AND(A107&lt;&gt;"",T107&gt;=0),"OK","بررسی شود")</x:f>
        <x:v>بررسی شود</x:v>
      </x:c>
    </x:row>
    <x:row r="108">
      <x:c r="A108" s="13"/>
      <x:c r="B108" s="17" t="str">
        <x:f>IFERROR(VLOOKUP(A108,'کارمندان'!$A$5:$H$205,2,FALSE),"")</x:f>
      </x:c>
      <x:c r="C108" s="21" t="str">
        <x:f>IFERROR(VLOOKUP(A108,'کارمندان'!$A$5:$H$205,5,FALSE),0)</x:f>
      </x:c>
      <x:c r="D108" s="20" t="n">
        <x:f>SUMIFS('حضور و غیاب'!$J$5:$J$205,'حضور و غیاب'!$B$5:$B$205,$A108,'حضور و غیاب'!$A$5:$A$205,"&gt;="&amp;'تنظیمات'!$B$5,'حضور و غیاب'!$A$5:$A$205,"&lt;="&amp;'تنظیمات'!$B$6)</x:f>
        <x:v>0</x:v>
      </x:c>
      <x:c r="E108" s="20" t="n">
        <x:f>SUMIFS('حضور و غیاب'!$K$5:$K$205,'حضور و غیاب'!$B$5:$B$205,$A108,'حضور و غیاب'!$A$5:$A$205,"&gt;="&amp;'تنظیمات'!$B$5,'حضور و غیاب'!$A$5:$A$205,"&lt;="&amp;'تنظیمات'!$B$6)</x:f>
        <x:v>0</x:v>
      </x:c>
      <x:c r="F108" s="20" t="n">
        <x:f>SUMIFS('حضور و غیاب'!$G$5:$G$205,'حضور و غیاب'!$B$5:$B$205,$A108,'حضور و غیاب'!$F$5:$F$205,"Paid",'حضور و غیاب'!$A$5:$A$205,"&gt;="&amp;'تنظیمات'!$B$5,'حضور و غیاب'!$A$5:$A$205,"&lt;="&amp;'تنظیمات'!$B$6)</x:f>
        <x:v>0</x:v>
      </x:c>
      <x:c r="G108" s="20" t="n">
        <x:f>SUMIFS('حضور و غیاب'!$L$5:$L$205,'حضور و غیاب'!$B$5:$B$205,$A108,'حضور و غیاب'!$A$5:$A$205,"&gt;="&amp;'تنظیمات'!$B$5,'حضور و غیاب'!$A$5:$A$205,"&lt;="&amp;'تنظیمات'!$B$6)</x:f>
        <x:v>0</x:v>
      </x:c>
      <x:c r="H108" s="21" t="n">
        <x:f>ROUND(C108*D108,2)</x:f>
        <x:v>0</x:v>
      </x:c>
      <x:c r="I108" s="21" t="n">
        <x:f>ROUND(C108*E108*'تنظیمات'!$B$7,2)</x:f>
        <x:v>0</x:v>
      </x:c>
      <x:c r="J108" s="21" t="n">
        <x:f>ROUND(C108*F108,2)</x:f>
        <x:v>0</x:v>
      </x:c>
      <x:c r="K108" s="21" t="n">
        <x:f>ROUND((H108+I108+J108)*'تنظیمات'!$B$8,2)</x:f>
        <x:v>0</x:v>
      </x:c>
      <x:c r="L108" s="21" t="n">
        <x:f>SUM(H108:K108)</x:f>
        <x:v>0</x:v>
      </x:c>
      <x:c r="M108" s="21" t="n">
        <x:f>ROUND(MAX(0,L108-'تنظیمات'!$B$9)*'تنظیمات'!$B$10,2)</x:f>
        <x:v>0</x:v>
      </x:c>
      <x:c r="N108" s="21" t="n">
        <x:f>ROUND(MAX(0,L108*12-'تنظیمات'!$B$11)/12*'تنظیمات'!$B$12,2)</x:f>
        <x:v>0</x:v>
      </x:c>
      <x:c r="O108" s="21" t="n">
        <x:f>ROUND(L108*'تنظیمات'!$B$13,2)</x:f>
        <x:v>0</x:v>
      </x:c>
      <x:c r="P108" s="21" t="n">
        <x:f>ROUND((MIN(L108*12,'تنظیمات'!$B$17)*'تنظیمات'!$B$18+MAX(0,MIN(L108*12,'تنظیمات'!$B$19)-'تنظیمات'!$B$17)*'تنظیمات'!$B$20)/12,2)</x:f>
        <x:v>0</x:v>
      </x:c>
      <x:c r="Q108" s="21" t="n">
        <x:f>ROUND(MIN(L108*12,'تنظیمات'!$B$21)*'تنظیمات'!$B$22/12,2)</x:f>
        <x:v>0</x:v>
      </x:c>
      <x:c r="R108" s="21" t="n">
        <x:f>ROUND(MIN('تنظیمات'!$B$16,MAX(0,L108*12-'تنظیمات'!$B$14)*'تنظیمات'!$B$15)/12,2)</x:f>
        <x:v>0</x:v>
      </x:c>
      <x:c r="S108" s="21" t="n">
        <x:f>SUM(M108:R108)</x:f>
        <x:v>0</x:v>
      </x:c>
      <x:c r="T108" s="21" t="n">
        <x:f>L108-S108</x:f>
        <x:v>0</x:v>
      </x:c>
      <x:c r="U108" s="22" t="n">
        <x:f>'تنظیمات'!$B$5</x:f>
        <x:v>46266</x:v>
      </x:c>
      <x:c r="V108" s="22" t="n">
        <x:f>'تنظیمات'!$B$6</x:f>
        <x:v>46295</x:v>
      </x:c>
      <x:c r="W108" s="17" t="str">
        <x:f>IF(AND(A108&lt;&gt;"",T108&gt;=0),"OK","بررسی شود")</x:f>
        <x:v>بررسی شود</x:v>
      </x:c>
    </x:row>
    <x:row r="109">
      <x:c r="A109" s="13"/>
      <x:c r="B109" s="17" t="str">
        <x:f>IFERROR(VLOOKUP(A109,'کارمندان'!$A$5:$H$205,2,FALSE),"")</x:f>
      </x:c>
      <x:c r="C109" s="21" t="str">
        <x:f>IFERROR(VLOOKUP(A109,'کارمندان'!$A$5:$H$205,5,FALSE),0)</x:f>
      </x:c>
      <x:c r="D109" s="20" t="n">
        <x:f>SUMIFS('حضور و غیاب'!$J$5:$J$205,'حضور و غیاب'!$B$5:$B$205,$A109,'حضور و غیاب'!$A$5:$A$205,"&gt;="&amp;'تنظیمات'!$B$5,'حضور و غیاب'!$A$5:$A$205,"&lt;="&amp;'تنظیمات'!$B$6)</x:f>
        <x:v>0</x:v>
      </x:c>
      <x:c r="E109" s="20" t="n">
        <x:f>SUMIFS('حضور و غیاب'!$K$5:$K$205,'حضور و غیاب'!$B$5:$B$205,$A109,'حضور و غیاب'!$A$5:$A$205,"&gt;="&amp;'تنظیمات'!$B$5,'حضور و غیاب'!$A$5:$A$205,"&lt;="&amp;'تنظیمات'!$B$6)</x:f>
        <x:v>0</x:v>
      </x:c>
      <x:c r="F109" s="20" t="n">
        <x:f>SUMIFS('حضور و غیاب'!$G$5:$G$205,'حضور و غیاب'!$B$5:$B$205,$A109,'حضور و غیاب'!$F$5:$F$205,"Paid",'حضور و غیاب'!$A$5:$A$205,"&gt;="&amp;'تنظیمات'!$B$5,'حضور و غیاب'!$A$5:$A$205,"&lt;="&amp;'تنظیمات'!$B$6)</x:f>
        <x:v>0</x:v>
      </x:c>
      <x:c r="G109" s="20" t="n">
        <x:f>SUMIFS('حضور و غیاب'!$L$5:$L$205,'حضور و غیاب'!$B$5:$B$205,$A109,'حضور و غیاب'!$A$5:$A$205,"&gt;="&amp;'تنظیمات'!$B$5,'حضور و غیاب'!$A$5:$A$205,"&lt;="&amp;'تنظیمات'!$B$6)</x:f>
        <x:v>0</x:v>
      </x:c>
      <x:c r="H109" s="21" t="n">
        <x:f>ROUND(C109*D109,2)</x:f>
        <x:v>0</x:v>
      </x:c>
      <x:c r="I109" s="21" t="n">
        <x:f>ROUND(C109*E109*'تنظیمات'!$B$7,2)</x:f>
        <x:v>0</x:v>
      </x:c>
      <x:c r="J109" s="21" t="n">
        <x:f>ROUND(C109*F109,2)</x:f>
        <x:v>0</x:v>
      </x:c>
      <x:c r="K109" s="21" t="n">
        <x:f>ROUND((H109+I109+J109)*'تنظیمات'!$B$8,2)</x:f>
        <x:v>0</x:v>
      </x:c>
      <x:c r="L109" s="21" t="n">
        <x:f>SUM(H109:K109)</x:f>
        <x:v>0</x:v>
      </x:c>
      <x:c r="M109" s="21" t="n">
        <x:f>ROUND(MAX(0,L109-'تنظیمات'!$B$9)*'تنظیمات'!$B$10,2)</x:f>
        <x:v>0</x:v>
      </x:c>
      <x:c r="N109" s="21" t="n">
        <x:f>ROUND(MAX(0,L109*12-'تنظیمات'!$B$11)/12*'تنظیمات'!$B$12,2)</x:f>
        <x:v>0</x:v>
      </x:c>
      <x:c r="O109" s="21" t="n">
        <x:f>ROUND(L109*'تنظیمات'!$B$13,2)</x:f>
        <x:v>0</x:v>
      </x:c>
      <x:c r="P109" s="21" t="n">
        <x:f>ROUND((MIN(L109*12,'تنظیمات'!$B$17)*'تنظیمات'!$B$18+MAX(0,MIN(L109*12,'تنظیمات'!$B$19)-'تنظیمات'!$B$17)*'تنظیمات'!$B$20)/12,2)</x:f>
        <x:v>0</x:v>
      </x:c>
      <x:c r="Q109" s="21" t="n">
        <x:f>ROUND(MIN(L109*12,'تنظیمات'!$B$21)*'تنظیمات'!$B$22/12,2)</x:f>
        <x:v>0</x:v>
      </x:c>
      <x:c r="R109" s="21" t="n">
        <x:f>ROUND(MIN('تنظیمات'!$B$16,MAX(0,L109*12-'تنظیمات'!$B$14)*'تنظیمات'!$B$15)/12,2)</x:f>
        <x:v>0</x:v>
      </x:c>
      <x:c r="S109" s="21" t="n">
        <x:f>SUM(M109:R109)</x:f>
        <x:v>0</x:v>
      </x:c>
      <x:c r="T109" s="21" t="n">
        <x:f>L109-S109</x:f>
        <x:v>0</x:v>
      </x:c>
      <x:c r="U109" s="22" t="n">
        <x:f>'تنظیمات'!$B$5</x:f>
        <x:v>46266</x:v>
      </x:c>
      <x:c r="V109" s="22" t="n">
        <x:f>'تنظیمات'!$B$6</x:f>
        <x:v>46295</x:v>
      </x:c>
      <x:c r="W109" s="17" t="str">
        <x:f>IF(AND(A109&lt;&gt;"",T109&gt;=0),"OK","بررسی شود")</x:f>
        <x:v>بررسی شود</x:v>
      </x:c>
    </x:row>
    <x:row r="110">
      <x:c r="A110" s="13"/>
      <x:c r="B110" s="17" t="str">
        <x:f>IFERROR(VLOOKUP(A110,'کارمندان'!$A$5:$H$205,2,FALSE),"")</x:f>
      </x:c>
      <x:c r="C110" s="21" t="str">
        <x:f>IFERROR(VLOOKUP(A110,'کارمندان'!$A$5:$H$205,5,FALSE),0)</x:f>
      </x:c>
      <x:c r="D110" s="20" t="n">
        <x:f>SUMIFS('حضور و غیاب'!$J$5:$J$205,'حضور و غیاب'!$B$5:$B$205,$A110,'حضور و غیاب'!$A$5:$A$205,"&gt;="&amp;'تنظیمات'!$B$5,'حضور و غیاب'!$A$5:$A$205,"&lt;="&amp;'تنظیمات'!$B$6)</x:f>
        <x:v>0</x:v>
      </x:c>
      <x:c r="E110" s="20" t="n">
        <x:f>SUMIFS('حضور و غیاب'!$K$5:$K$205,'حضور و غیاب'!$B$5:$B$205,$A110,'حضور و غیاب'!$A$5:$A$205,"&gt;="&amp;'تنظیمات'!$B$5,'حضور و غیاب'!$A$5:$A$205,"&lt;="&amp;'تنظیمات'!$B$6)</x:f>
        <x:v>0</x:v>
      </x:c>
      <x:c r="F110" s="20" t="n">
        <x:f>SUMIFS('حضور و غیاب'!$G$5:$G$205,'حضور و غیاب'!$B$5:$B$205,$A110,'حضور و غیاب'!$F$5:$F$205,"Paid",'حضور و غیاب'!$A$5:$A$205,"&gt;="&amp;'تنظیمات'!$B$5,'حضور و غیاب'!$A$5:$A$205,"&lt;="&amp;'تنظیمات'!$B$6)</x:f>
        <x:v>0</x:v>
      </x:c>
      <x:c r="G110" s="20" t="n">
        <x:f>SUMIFS('حضور و غیاب'!$L$5:$L$205,'حضور و غیاب'!$B$5:$B$205,$A110,'حضور و غیاب'!$A$5:$A$205,"&gt;="&amp;'تنظیمات'!$B$5,'حضور و غیاب'!$A$5:$A$205,"&lt;="&amp;'تنظیمات'!$B$6)</x:f>
        <x:v>0</x:v>
      </x:c>
      <x:c r="H110" s="21" t="n">
        <x:f>ROUND(C110*D110,2)</x:f>
        <x:v>0</x:v>
      </x:c>
      <x:c r="I110" s="21" t="n">
        <x:f>ROUND(C110*E110*'تنظیمات'!$B$7,2)</x:f>
        <x:v>0</x:v>
      </x:c>
      <x:c r="J110" s="21" t="n">
        <x:f>ROUND(C110*F110,2)</x:f>
        <x:v>0</x:v>
      </x:c>
      <x:c r="K110" s="21" t="n">
        <x:f>ROUND((H110+I110+J110)*'تنظیمات'!$B$8,2)</x:f>
        <x:v>0</x:v>
      </x:c>
      <x:c r="L110" s="21" t="n">
        <x:f>SUM(H110:K110)</x:f>
        <x:v>0</x:v>
      </x:c>
      <x:c r="M110" s="21" t="n">
        <x:f>ROUND(MAX(0,L110-'تنظیمات'!$B$9)*'تنظیمات'!$B$10,2)</x:f>
        <x:v>0</x:v>
      </x:c>
      <x:c r="N110" s="21" t="n">
        <x:f>ROUND(MAX(0,L110*12-'تنظیمات'!$B$11)/12*'تنظیمات'!$B$12,2)</x:f>
        <x:v>0</x:v>
      </x:c>
      <x:c r="O110" s="21" t="n">
        <x:f>ROUND(L110*'تنظیمات'!$B$13,2)</x:f>
        <x:v>0</x:v>
      </x:c>
      <x:c r="P110" s="21" t="n">
        <x:f>ROUND((MIN(L110*12,'تنظیمات'!$B$17)*'تنظیمات'!$B$18+MAX(0,MIN(L110*12,'تنظیمات'!$B$19)-'تنظیمات'!$B$17)*'تنظیمات'!$B$20)/12,2)</x:f>
        <x:v>0</x:v>
      </x:c>
      <x:c r="Q110" s="21" t="n">
        <x:f>ROUND(MIN(L110*12,'تنظیمات'!$B$21)*'تنظیمات'!$B$22/12,2)</x:f>
        <x:v>0</x:v>
      </x:c>
      <x:c r="R110" s="21" t="n">
        <x:f>ROUND(MIN('تنظیمات'!$B$16,MAX(0,L110*12-'تنظیمات'!$B$14)*'تنظیمات'!$B$15)/12,2)</x:f>
        <x:v>0</x:v>
      </x:c>
      <x:c r="S110" s="21" t="n">
        <x:f>SUM(M110:R110)</x:f>
        <x:v>0</x:v>
      </x:c>
      <x:c r="T110" s="21" t="n">
        <x:f>L110-S110</x:f>
        <x:v>0</x:v>
      </x:c>
      <x:c r="U110" s="22" t="n">
        <x:f>'تنظیمات'!$B$5</x:f>
        <x:v>46266</x:v>
      </x:c>
      <x:c r="V110" s="22" t="n">
        <x:f>'تنظیمات'!$B$6</x:f>
        <x:v>46295</x:v>
      </x:c>
      <x:c r="W110" s="17" t="str">
        <x:f>IF(AND(A110&lt;&gt;"",T110&gt;=0),"OK","بررسی شود")</x:f>
        <x:v>بررسی شود</x:v>
      </x:c>
    </x:row>
    <x:row r="111">
      <x:c r="A111" s="13"/>
      <x:c r="B111" s="17" t="str">
        <x:f>IFERROR(VLOOKUP(A111,'کارمندان'!$A$5:$H$205,2,FALSE),"")</x:f>
      </x:c>
      <x:c r="C111" s="21" t="str">
        <x:f>IFERROR(VLOOKUP(A111,'کارمندان'!$A$5:$H$205,5,FALSE),0)</x:f>
      </x:c>
      <x:c r="D111" s="20" t="n">
        <x:f>SUMIFS('حضور و غیاب'!$J$5:$J$205,'حضور و غیاب'!$B$5:$B$205,$A111,'حضور و غیاب'!$A$5:$A$205,"&gt;="&amp;'تنظیمات'!$B$5,'حضور و غیاب'!$A$5:$A$205,"&lt;="&amp;'تنظیمات'!$B$6)</x:f>
        <x:v>0</x:v>
      </x:c>
      <x:c r="E111" s="20" t="n">
        <x:f>SUMIFS('حضور و غیاب'!$K$5:$K$205,'حضور و غیاب'!$B$5:$B$205,$A111,'حضور و غیاب'!$A$5:$A$205,"&gt;="&amp;'تنظیمات'!$B$5,'حضور و غیاب'!$A$5:$A$205,"&lt;="&amp;'تنظیمات'!$B$6)</x:f>
        <x:v>0</x:v>
      </x:c>
      <x:c r="F111" s="20" t="n">
        <x:f>SUMIFS('حضور و غیاب'!$G$5:$G$205,'حضور و غیاب'!$B$5:$B$205,$A111,'حضور و غیاب'!$F$5:$F$205,"Paid",'حضور و غیاب'!$A$5:$A$205,"&gt;="&amp;'تنظیمات'!$B$5,'حضور و غیاب'!$A$5:$A$205,"&lt;="&amp;'تنظیمات'!$B$6)</x:f>
        <x:v>0</x:v>
      </x:c>
      <x:c r="G111" s="20" t="n">
        <x:f>SUMIFS('حضور و غیاب'!$L$5:$L$205,'حضور و غیاب'!$B$5:$B$205,$A111,'حضور و غیاب'!$A$5:$A$205,"&gt;="&amp;'تنظیمات'!$B$5,'حضور و غیاب'!$A$5:$A$205,"&lt;="&amp;'تنظیمات'!$B$6)</x:f>
        <x:v>0</x:v>
      </x:c>
      <x:c r="H111" s="21" t="n">
        <x:f>ROUND(C111*D111,2)</x:f>
        <x:v>0</x:v>
      </x:c>
      <x:c r="I111" s="21" t="n">
        <x:f>ROUND(C111*E111*'تنظیمات'!$B$7,2)</x:f>
        <x:v>0</x:v>
      </x:c>
      <x:c r="J111" s="21" t="n">
        <x:f>ROUND(C111*F111,2)</x:f>
        <x:v>0</x:v>
      </x:c>
      <x:c r="K111" s="21" t="n">
        <x:f>ROUND((H111+I111+J111)*'تنظیمات'!$B$8,2)</x:f>
        <x:v>0</x:v>
      </x:c>
      <x:c r="L111" s="21" t="n">
        <x:f>SUM(H111:K111)</x:f>
        <x:v>0</x:v>
      </x:c>
      <x:c r="M111" s="21" t="n">
        <x:f>ROUND(MAX(0,L111-'تنظیمات'!$B$9)*'تنظیمات'!$B$10,2)</x:f>
        <x:v>0</x:v>
      </x:c>
      <x:c r="N111" s="21" t="n">
        <x:f>ROUND(MAX(0,L111*12-'تنظیمات'!$B$11)/12*'تنظیمات'!$B$12,2)</x:f>
        <x:v>0</x:v>
      </x:c>
      <x:c r="O111" s="21" t="n">
        <x:f>ROUND(L111*'تنظیمات'!$B$13,2)</x:f>
        <x:v>0</x:v>
      </x:c>
      <x:c r="P111" s="21" t="n">
        <x:f>ROUND((MIN(L111*12,'تنظیمات'!$B$17)*'تنظیمات'!$B$18+MAX(0,MIN(L111*12,'تنظیمات'!$B$19)-'تنظیمات'!$B$17)*'تنظیمات'!$B$20)/12,2)</x:f>
        <x:v>0</x:v>
      </x:c>
      <x:c r="Q111" s="21" t="n">
        <x:f>ROUND(MIN(L111*12,'تنظیمات'!$B$21)*'تنظیمات'!$B$22/12,2)</x:f>
        <x:v>0</x:v>
      </x:c>
      <x:c r="R111" s="21" t="n">
        <x:f>ROUND(MIN('تنظیمات'!$B$16,MAX(0,L111*12-'تنظیمات'!$B$14)*'تنظیمات'!$B$15)/12,2)</x:f>
        <x:v>0</x:v>
      </x:c>
      <x:c r="S111" s="21" t="n">
        <x:f>SUM(M111:R111)</x:f>
        <x:v>0</x:v>
      </x:c>
      <x:c r="T111" s="21" t="n">
        <x:f>L111-S111</x:f>
        <x:v>0</x:v>
      </x:c>
      <x:c r="U111" s="22" t="n">
        <x:f>'تنظیمات'!$B$5</x:f>
        <x:v>46266</x:v>
      </x:c>
      <x:c r="V111" s="22" t="n">
        <x:f>'تنظیمات'!$B$6</x:f>
        <x:v>46295</x:v>
      </x:c>
      <x:c r="W111" s="17" t="str">
        <x:f>IF(AND(A111&lt;&gt;"",T111&gt;=0),"OK","بررسی شود")</x:f>
        <x:v>بررسی شود</x:v>
      </x:c>
    </x:row>
    <x:row r="112">
      <x:c r="A112" s="13"/>
      <x:c r="B112" s="17" t="str">
        <x:f>IFERROR(VLOOKUP(A112,'کارمندان'!$A$5:$H$205,2,FALSE),"")</x:f>
      </x:c>
      <x:c r="C112" s="21" t="str">
        <x:f>IFERROR(VLOOKUP(A112,'کارمندان'!$A$5:$H$205,5,FALSE),0)</x:f>
      </x:c>
      <x:c r="D112" s="20" t="n">
        <x:f>SUMIFS('حضور و غیاب'!$J$5:$J$205,'حضور و غیاب'!$B$5:$B$205,$A112,'حضور و غیاب'!$A$5:$A$205,"&gt;="&amp;'تنظیمات'!$B$5,'حضور و غیاب'!$A$5:$A$205,"&lt;="&amp;'تنظیمات'!$B$6)</x:f>
        <x:v>0</x:v>
      </x:c>
      <x:c r="E112" s="20" t="n">
        <x:f>SUMIFS('حضور و غیاب'!$K$5:$K$205,'حضور و غیاب'!$B$5:$B$205,$A112,'حضور و غیاب'!$A$5:$A$205,"&gt;="&amp;'تنظیمات'!$B$5,'حضور و غیاب'!$A$5:$A$205,"&lt;="&amp;'تنظیمات'!$B$6)</x:f>
        <x:v>0</x:v>
      </x:c>
      <x:c r="F112" s="20" t="n">
        <x:f>SUMIFS('حضور و غیاب'!$G$5:$G$205,'حضور و غیاب'!$B$5:$B$205,$A112,'حضور و غیاب'!$F$5:$F$205,"Paid",'حضور و غیاب'!$A$5:$A$205,"&gt;="&amp;'تنظیمات'!$B$5,'حضور و غیاب'!$A$5:$A$205,"&lt;="&amp;'تنظیمات'!$B$6)</x:f>
        <x:v>0</x:v>
      </x:c>
      <x:c r="G112" s="20" t="n">
        <x:f>SUMIFS('حضور و غیاب'!$L$5:$L$205,'حضور و غیاب'!$B$5:$B$205,$A112,'حضور و غیاب'!$A$5:$A$205,"&gt;="&amp;'تنظیمات'!$B$5,'حضور و غیاب'!$A$5:$A$205,"&lt;="&amp;'تنظیمات'!$B$6)</x:f>
        <x:v>0</x:v>
      </x:c>
      <x:c r="H112" s="21" t="n">
        <x:f>ROUND(C112*D112,2)</x:f>
        <x:v>0</x:v>
      </x:c>
      <x:c r="I112" s="21" t="n">
        <x:f>ROUND(C112*E112*'تنظیمات'!$B$7,2)</x:f>
        <x:v>0</x:v>
      </x:c>
      <x:c r="J112" s="21" t="n">
        <x:f>ROUND(C112*F112,2)</x:f>
        <x:v>0</x:v>
      </x:c>
      <x:c r="K112" s="21" t="n">
        <x:f>ROUND((H112+I112+J112)*'تنظیمات'!$B$8,2)</x:f>
        <x:v>0</x:v>
      </x:c>
      <x:c r="L112" s="21" t="n">
        <x:f>SUM(H112:K112)</x:f>
        <x:v>0</x:v>
      </x:c>
      <x:c r="M112" s="21" t="n">
        <x:f>ROUND(MAX(0,L112-'تنظیمات'!$B$9)*'تنظیمات'!$B$10,2)</x:f>
        <x:v>0</x:v>
      </x:c>
      <x:c r="N112" s="21" t="n">
        <x:f>ROUND(MAX(0,L112*12-'تنظیمات'!$B$11)/12*'تنظیمات'!$B$12,2)</x:f>
        <x:v>0</x:v>
      </x:c>
      <x:c r="O112" s="21" t="n">
        <x:f>ROUND(L112*'تنظیمات'!$B$13,2)</x:f>
        <x:v>0</x:v>
      </x:c>
      <x:c r="P112" s="21" t="n">
        <x:f>ROUND((MIN(L112*12,'تنظیمات'!$B$17)*'تنظیمات'!$B$18+MAX(0,MIN(L112*12,'تنظیمات'!$B$19)-'تنظیمات'!$B$17)*'تنظیمات'!$B$20)/12,2)</x:f>
        <x:v>0</x:v>
      </x:c>
      <x:c r="Q112" s="21" t="n">
        <x:f>ROUND(MIN(L112*12,'تنظیمات'!$B$21)*'تنظیمات'!$B$22/12,2)</x:f>
        <x:v>0</x:v>
      </x:c>
      <x:c r="R112" s="21" t="n">
        <x:f>ROUND(MIN('تنظیمات'!$B$16,MAX(0,L112*12-'تنظیمات'!$B$14)*'تنظیمات'!$B$15)/12,2)</x:f>
        <x:v>0</x:v>
      </x:c>
      <x:c r="S112" s="21" t="n">
        <x:f>SUM(M112:R112)</x:f>
        <x:v>0</x:v>
      </x:c>
      <x:c r="T112" s="21" t="n">
        <x:f>L112-S112</x:f>
        <x:v>0</x:v>
      </x:c>
      <x:c r="U112" s="22" t="n">
        <x:f>'تنظیمات'!$B$5</x:f>
        <x:v>46266</x:v>
      </x:c>
      <x:c r="V112" s="22" t="n">
        <x:f>'تنظیمات'!$B$6</x:f>
        <x:v>46295</x:v>
      </x:c>
      <x:c r="W112" s="17" t="str">
        <x:f>IF(AND(A112&lt;&gt;"",T112&gt;=0),"OK","بررسی شود")</x:f>
        <x:v>بررسی شود</x:v>
      </x:c>
    </x:row>
    <x:row r="113">
      <x:c r="A113" s="13"/>
      <x:c r="B113" s="17" t="str">
        <x:f>IFERROR(VLOOKUP(A113,'کارمندان'!$A$5:$H$205,2,FALSE),"")</x:f>
      </x:c>
      <x:c r="C113" s="21" t="str">
        <x:f>IFERROR(VLOOKUP(A113,'کارمندان'!$A$5:$H$205,5,FALSE),0)</x:f>
      </x:c>
      <x:c r="D113" s="20" t="n">
        <x:f>SUMIFS('حضور و غیاب'!$J$5:$J$205,'حضور و غیاب'!$B$5:$B$205,$A113,'حضور و غیاب'!$A$5:$A$205,"&gt;="&amp;'تنظیمات'!$B$5,'حضور و غیاب'!$A$5:$A$205,"&lt;="&amp;'تنظیمات'!$B$6)</x:f>
        <x:v>0</x:v>
      </x:c>
      <x:c r="E113" s="20" t="n">
        <x:f>SUMIFS('حضور و غیاب'!$K$5:$K$205,'حضور و غیاب'!$B$5:$B$205,$A113,'حضور و غیاب'!$A$5:$A$205,"&gt;="&amp;'تنظیمات'!$B$5,'حضور و غیاب'!$A$5:$A$205,"&lt;="&amp;'تنظیمات'!$B$6)</x:f>
        <x:v>0</x:v>
      </x:c>
      <x:c r="F113" s="20" t="n">
        <x:f>SUMIFS('حضور و غیاب'!$G$5:$G$205,'حضور و غیاب'!$B$5:$B$205,$A113,'حضور و غیاب'!$F$5:$F$205,"Paid",'حضور و غیاب'!$A$5:$A$205,"&gt;="&amp;'تنظیمات'!$B$5,'حضور و غیاب'!$A$5:$A$205,"&lt;="&amp;'تنظیمات'!$B$6)</x:f>
        <x:v>0</x:v>
      </x:c>
      <x:c r="G113" s="20" t="n">
        <x:f>SUMIFS('حضور و غیاب'!$L$5:$L$205,'حضور و غیاب'!$B$5:$B$205,$A113,'حضور و غیاب'!$A$5:$A$205,"&gt;="&amp;'تنظیمات'!$B$5,'حضور و غیاب'!$A$5:$A$205,"&lt;="&amp;'تنظیمات'!$B$6)</x:f>
        <x:v>0</x:v>
      </x:c>
      <x:c r="H113" s="21" t="n">
        <x:f>ROUND(C113*D113,2)</x:f>
        <x:v>0</x:v>
      </x:c>
      <x:c r="I113" s="21" t="n">
        <x:f>ROUND(C113*E113*'تنظیمات'!$B$7,2)</x:f>
        <x:v>0</x:v>
      </x:c>
      <x:c r="J113" s="21" t="n">
        <x:f>ROUND(C113*F113,2)</x:f>
        <x:v>0</x:v>
      </x:c>
      <x:c r="K113" s="21" t="n">
        <x:f>ROUND((H113+I113+J113)*'تنظیمات'!$B$8,2)</x:f>
        <x:v>0</x:v>
      </x:c>
      <x:c r="L113" s="21" t="n">
        <x:f>SUM(H113:K113)</x:f>
        <x:v>0</x:v>
      </x:c>
      <x:c r="M113" s="21" t="n">
        <x:f>ROUND(MAX(0,L113-'تنظیمات'!$B$9)*'تنظیمات'!$B$10,2)</x:f>
        <x:v>0</x:v>
      </x:c>
      <x:c r="N113" s="21" t="n">
        <x:f>ROUND(MAX(0,L113*12-'تنظیمات'!$B$11)/12*'تنظیمات'!$B$12,2)</x:f>
        <x:v>0</x:v>
      </x:c>
      <x:c r="O113" s="21" t="n">
        <x:f>ROUND(L113*'تنظیمات'!$B$13,2)</x:f>
        <x:v>0</x:v>
      </x:c>
      <x:c r="P113" s="21" t="n">
        <x:f>ROUND((MIN(L113*12,'تنظیمات'!$B$17)*'تنظیمات'!$B$18+MAX(0,MIN(L113*12,'تنظیمات'!$B$19)-'تنظیمات'!$B$17)*'تنظیمات'!$B$20)/12,2)</x:f>
        <x:v>0</x:v>
      </x:c>
      <x:c r="Q113" s="21" t="n">
        <x:f>ROUND(MIN(L113*12,'تنظیمات'!$B$21)*'تنظیمات'!$B$22/12,2)</x:f>
        <x:v>0</x:v>
      </x:c>
      <x:c r="R113" s="21" t="n">
        <x:f>ROUND(MIN('تنظیمات'!$B$16,MAX(0,L113*12-'تنظیمات'!$B$14)*'تنظیمات'!$B$15)/12,2)</x:f>
        <x:v>0</x:v>
      </x:c>
      <x:c r="S113" s="21" t="n">
        <x:f>SUM(M113:R113)</x:f>
        <x:v>0</x:v>
      </x:c>
      <x:c r="T113" s="21" t="n">
        <x:f>L113-S113</x:f>
        <x:v>0</x:v>
      </x:c>
      <x:c r="U113" s="22" t="n">
        <x:f>'تنظیمات'!$B$5</x:f>
        <x:v>46266</x:v>
      </x:c>
      <x:c r="V113" s="22" t="n">
        <x:f>'تنظیمات'!$B$6</x:f>
        <x:v>46295</x:v>
      </x:c>
      <x:c r="W113" s="17" t="str">
        <x:f>IF(AND(A113&lt;&gt;"",T113&gt;=0),"OK","بررسی شود")</x:f>
        <x:v>بررسی شود</x:v>
      </x:c>
    </x:row>
    <x:row r="114">
      <x:c r="A114" s="13"/>
      <x:c r="B114" s="17" t="str">
        <x:f>IFERROR(VLOOKUP(A114,'کارمندان'!$A$5:$H$205,2,FALSE),"")</x:f>
      </x:c>
      <x:c r="C114" s="21" t="str">
        <x:f>IFERROR(VLOOKUP(A114,'کارمندان'!$A$5:$H$205,5,FALSE),0)</x:f>
      </x:c>
      <x:c r="D114" s="20" t="n">
        <x:f>SUMIFS('حضور و غیاب'!$J$5:$J$205,'حضور و غیاب'!$B$5:$B$205,$A114,'حضور و غیاب'!$A$5:$A$205,"&gt;="&amp;'تنظیمات'!$B$5,'حضور و غیاب'!$A$5:$A$205,"&lt;="&amp;'تنظیمات'!$B$6)</x:f>
        <x:v>0</x:v>
      </x:c>
      <x:c r="E114" s="20" t="n">
        <x:f>SUMIFS('حضور و غیاب'!$K$5:$K$205,'حضور و غیاب'!$B$5:$B$205,$A114,'حضور و غیاب'!$A$5:$A$205,"&gt;="&amp;'تنظیمات'!$B$5,'حضور و غیاب'!$A$5:$A$205,"&lt;="&amp;'تنظیمات'!$B$6)</x:f>
        <x:v>0</x:v>
      </x:c>
      <x:c r="F114" s="20" t="n">
        <x:f>SUMIFS('حضور و غیاب'!$G$5:$G$205,'حضور و غیاب'!$B$5:$B$205,$A114,'حضور و غیاب'!$F$5:$F$205,"Paid",'حضور و غیاب'!$A$5:$A$205,"&gt;="&amp;'تنظیمات'!$B$5,'حضور و غیاب'!$A$5:$A$205,"&lt;="&amp;'تنظیمات'!$B$6)</x:f>
        <x:v>0</x:v>
      </x:c>
      <x:c r="G114" s="20" t="n">
        <x:f>SUMIFS('حضور و غیاب'!$L$5:$L$205,'حضور و غیاب'!$B$5:$B$205,$A114,'حضور و غیاب'!$A$5:$A$205,"&gt;="&amp;'تنظیمات'!$B$5,'حضور و غیاب'!$A$5:$A$205,"&lt;="&amp;'تنظیمات'!$B$6)</x:f>
        <x:v>0</x:v>
      </x:c>
      <x:c r="H114" s="21" t="n">
        <x:f>ROUND(C114*D114,2)</x:f>
        <x:v>0</x:v>
      </x:c>
      <x:c r="I114" s="21" t="n">
        <x:f>ROUND(C114*E114*'تنظیمات'!$B$7,2)</x:f>
        <x:v>0</x:v>
      </x:c>
      <x:c r="J114" s="21" t="n">
        <x:f>ROUND(C114*F114,2)</x:f>
        <x:v>0</x:v>
      </x:c>
      <x:c r="K114" s="21" t="n">
        <x:f>ROUND((H114+I114+J114)*'تنظیمات'!$B$8,2)</x:f>
        <x:v>0</x:v>
      </x:c>
      <x:c r="L114" s="21" t="n">
        <x:f>SUM(H114:K114)</x:f>
        <x:v>0</x:v>
      </x:c>
      <x:c r="M114" s="21" t="n">
        <x:f>ROUND(MAX(0,L114-'تنظیمات'!$B$9)*'تنظیمات'!$B$10,2)</x:f>
        <x:v>0</x:v>
      </x:c>
      <x:c r="N114" s="21" t="n">
        <x:f>ROUND(MAX(0,L114*12-'تنظیمات'!$B$11)/12*'تنظیمات'!$B$12,2)</x:f>
        <x:v>0</x:v>
      </x:c>
      <x:c r="O114" s="21" t="n">
        <x:f>ROUND(L114*'تنظیمات'!$B$13,2)</x:f>
        <x:v>0</x:v>
      </x:c>
      <x:c r="P114" s="21" t="n">
        <x:f>ROUND((MIN(L114*12,'تنظیمات'!$B$17)*'تنظیمات'!$B$18+MAX(0,MIN(L114*12,'تنظیمات'!$B$19)-'تنظیمات'!$B$17)*'تنظیمات'!$B$20)/12,2)</x:f>
        <x:v>0</x:v>
      </x:c>
      <x:c r="Q114" s="21" t="n">
        <x:f>ROUND(MIN(L114*12,'تنظیمات'!$B$21)*'تنظیمات'!$B$22/12,2)</x:f>
        <x:v>0</x:v>
      </x:c>
      <x:c r="R114" s="21" t="n">
        <x:f>ROUND(MIN('تنظیمات'!$B$16,MAX(0,L114*12-'تنظیمات'!$B$14)*'تنظیمات'!$B$15)/12,2)</x:f>
        <x:v>0</x:v>
      </x:c>
      <x:c r="S114" s="21" t="n">
        <x:f>SUM(M114:R114)</x:f>
        <x:v>0</x:v>
      </x:c>
      <x:c r="T114" s="21" t="n">
        <x:f>L114-S114</x:f>
        <x:v>0</x:v>
      </x:c>
      <x:c r="U114" s="22" t="n">
        <x:f>'تنظیمات'!$B$5</x:f>
        <x:v>46266</x:v>
      </x:c>
      <x:c r="V114" s="22" t="n">
        <x:f>'تنظیمات'!$B$6</x:f>
        <x:v>46295</x:v>
      </x:c>
      <x:c r="W114" s="17" t="str">
        <x:f>IF(AND(A114&lt;&gt;"",T114&gt;=0),"OK","بررسی شود")</x:f>
        <x:v>بررسی شود</x:v>
      </x:c>
    </x:row>
    <x:row r="115">
      <x:c r="A115" s="13"/>
      <x:c r="B115" s="17" t="str">
        <x:f>IFERROR(VLOOKUP(A115,'کارمندان'!$A$5:$H$205,2,FALSE),"")</x:f>
      </x:c>
      <x:c r="C115" s="21" t="str">
        <x:f>IFERROR(VLOOKUP(A115,'کارمندان'!$A$5:$H$205,5,FALSE),0)</x:f>
      </x:c>
      <x:c r="D115" s="20" t="n">
        <x:f>SUMIFS('حضور و غیاب'!$J$5:$J$205,'حضور و غیاب'!$B$5:$B$205,$A115,'حضور و غیاب'!$A$5:$A$205,"&gt;="&amp;'تنظیمات'!$B$5,'حضور و غیاب'!$A$5:$A$205,"&lt;="&amp;'تنظیمات'!$B$6)</x:f>
        <x:v>0</x:v>
      </x:c>
      <x:c r="E115" s="20" t="n">
        <x:f>SUMIFS('حضور و غیاب'!$K$5:$K$205,'حضور و غیاب'!$B$5:$B$205,$A115,'حضور و غیاب'!$A$5:$A$205,"&gt;="&amp;'تنظیمات'!$B$5,'حضور و غیاب'!$A$5:$A$205,"&lt;="&amp;'تنظیمات'!$B$6)</x:f>
        <x:v>0</x:v>
      </x:c>
      <x:c r="F115" s="20" t="n">
        <x:f>SUMIFS('حضور و غیاب'!$G$5:$G$205,'حضور و غیاب'!$B$5:$B$205,$A115,'حضور و غیاب'!$F$5:$F$205,"Paid",'حضور و غیاب'!$A$5:$A$205,"&gt;="&amp;'تنظیمات'!$B$5,'حضور و غیاب'!$A$5:$A$205,"&lt;="&amp;'تنظیمات'!$B$6)</x:f>
        <x:v>0</x:v>
      </x:c>
      <x:c r="G115" s="20" t="n">
        <x:f>SUMIFS('حضور و غیاب'!$L$5:$L$205,'حضور و غیاب'!$B$5:$B$205,$A115,'حضور و غیاب'!$A$5:$A$205,"&gt;="&amp;'تنظیمات'!$B$5,'حضور و غیاب'!$A$5:$A$205,"&lt;="&amp;'تنظیمات'!$B$6)</x:f>
        <x:v>0</x:v>
      </x:c>
      <x:c r="H115" s="21" t="n">
        <x:f>ROUND(C115*D115,2)</x:f>
        <x:v>0</x:v>
      </x:c>
      <x:c r="I115" s="21" t="n">
        <x:f>ROUND(C115*E115*'تنظیمات'!$B$7,2)</x:f>
        <x:v>0</x:v>
      </x:c>
      <x:c r="J115" s="21" t="n">
        <x:f>ROUND(C115*F115,2)</x:f>
        <x:v>0</x:v>
      </x:c>
      <x:c r="K115" s="21" t="n">
        <x:f>ROUND((H115+I115+J115)*'تنظیمات'!$B$8,2)</x:f>
        <x:v>0</x:v>
      </x:c>
      <x:c r="L115" s="21" t="n">
        <x:f>SUM(H115:K115)</x:f>
        <x:v>0</x:v>
      </x:c>
      <x:c r="M115" s="21" t="n">
        <x:f>ROUND(MAX(0,L115-'تنظیمات'!$B$9)*'تنظیمات'!$B$10,2)</x:f>
        <x:v>0</x:v>
      </x:c>
      <x:c r="N115" s="21" t="n">
        <x:f>ROUND(MAX(0,L115*12-'تنظیمات'!$B$11)/12*'تنظیمات'!$B$12,2)</x:f>
        <x:v>0</x:v>
      </x:c>
      <x:c r="O115" s="21" t="n">
        <x:f>ROUND(L115*'تنظیمات'!$B$13,2)</x:f>
        <x:v>0</x:v>
      </x:c>
      <x:c r="P115" s="21" t="n">
        <x:f>ROUND((MIN(L115*12,'تنظیمات'!$B$17)*'تنظیمات'!$B$18+MAX(0,MIN(L115*12,'تنظیمات'!$B$19)-'تنظیمات'!$B$17)*'تنظیمات'!$B$20)/12,2)</x:f>
        <x:v>0</x:v>
      </x:c>
      <x:c r="Q115" s="21" t="n">
        <x:f>ROUND(MIN(L115*12,'تنظیمات'!$B$21)*'تنظیمات'!$B$22/12,2)</x:f>
        <x:v>0</x:v>
      </x:c>
      <x:c r="R115" s="21" t="n">
        <x:f>ROUND(MIN('تنظیمات'!$B$16,MAX(0,L115*12-'تنظیمات'!$B$14)*'تنظیمات'!$B$15)/12,2)</x:f>
        <x:v>0</x:v>
      </x:c>
      <x:c r="S115" s="21" t="n">
        <x:f>SUM(M115:R115)</x:f>
        <x:v>0</x:v>
      </x:c>
      <x:c r="T115" s="21" t="n">
        <x:f>L115-S115</x:f>
        <x:v>0</x:v>
      </x:c>
      <x:c r="U115" s="22" t="n">
        <x:f>'تنظیمات'!$B$5</x:f>
        <x:v>46266</x:v>
      </x:c>
      <x:c r="V115" s="22" t="n">
        <x:f>'تنظیمات'!$B$6</x:f>
        <x:v>46295</x:v>
      </x:c>
      <x:c r="W115" s="17" t="str">
        <x:f>IF(AND(A115&lt;&gt;"",T115&gt;=0),"OK","بررسی شود")</x:f>
        <x:v>بررسی شود</x:v>
      </x:c>
    </x:row>
    <x:row r="116">
      <x:c r="A116" s="13"/>
      <x:c r="B116" s="17" t="str">
        <x:f>IFERROR(VLOOKUP(A116,'کارمندان'!$A$5:$H$205,2,FALSE),"")</x:f>
      </x:c>
      <x:c r="C116" s="21" t="str">
        <x:f>IFERROR(VLOOKUP(A116,'کارمندان'!$A$5:$H$205,5,FALSE),0)</x:f>
      </x:c>
      <x:c r="D116" s="20" t="n">
        <x:f>SUMIFS('حضور و غیاب'!$J$5:$J$205,'حضور و غیاب'!$B$5:$B$205,$A116,'حضور و غیاب'!$A$5:$A$205,"&gt;="&amp;'تنظیمات'!$B$5,'حضور و غیاب'!$A$5:$A$205,"&lt;="&amp;'تنظیمات'!$B$6)</x:f>
        <x:v>0</x:v>
      </x:c>
      <x:c r="E116" s="20" t="n">
        <x:f>SUMIFS('حضور و غیاب'!$K$5:$K$205,'حضور و غیاب'!$B$5:$B$205,$A116,'حضور و غیاب'!$A$5:$A$205,"&gt;="&amp;'تنظیمات'!$B$5,'حضور و غیاب'!$A$5:$A$205,"&lt;="&amp;'تنظیمات'!$B$6)</x:f>
        <x:v>0</x:v>
      </x:c>
      <x:c r="F116" s="20" t="n">
        <x:f>SUMIFS('حضور و غیاب'!$G$5:$G$205,'حضور و غیاب'!$B$5:$B$205,$A116,'حضور و غیاب'!$F$5:$F$205,"Paid",'حضور و غیاب'!$A$5:$A$205,"&gt;="&amp;'تنظیمات'!$B$5,'حضور و غیاب'!$A$5:$A$205,"&lt;="&amp;'تنظیمات'!$B$6)</x:f>
        <x:v>0</x:v>
      </x:c>
      <x:c r="G116" s="20" t="n">
        <x:f>SUMIFS('حضور و غیاب'!$L$5:$L$205,'حضور و غیاب'!$B$5:$B$205,$A116,'حضور و غیاب'!$A$5:$A$205,"&gt;="&amp;'تنظیمات'!$B$5,'حضور و غیاب'!$A$5:$A$205,"&lt;="&amp;'تنظیمات'!$B$6)</x:f>
        <x:v>0</x:v>
      </x:c>
      <x:c r="H116" s="21" t="n">
        <x:f>ROUND(C116*D116,2)</x:f>
        <x:v>0</x:v>
      </x:c>
      <x:c r="I116" s="21" t="n">
        <x:f>ROUND(C116*E116*'تنظیمات'!$B$7,2)</x:f>
        <x:v>0</x:v>
      </x:c>
      <x:c r="J116" s="21" t="n">
        <x:f>ROUND(C116*F116,2)</x:f>
        <x:v>0</x:v>
      </x:c>
      <x:c r="K116" s="21" t="n">
        <x:f>ROUND((H116+I116+J116)*'تنظیمات'!$B$8,2)</x:f>
        <x:v>0</x:v>
      </x:c>
      <x:c r="L116" s="21" t="n">
        <x:f>SUM(H116:K116)</x:f>
        <x:v>0</x:v>
      </x:c>
      <x:c r="M116" s="21" t="n">
        <x:f>ROUND(MAX(0,L116-'تنظیمات'!$B$9)*'تنظیمات'!$B$10,2)</x:f>
        <x:v>0</x:v>
      </x:c>
      <x:c r="N116" s="21" t="n">
        <x:f>ROUND(MAX(0,L116*12-'تنظیمات'!$B$11)/12*'تنظیمات'!$B$12,2)</x:f>
        <x:v>0</x:v>
      </x:c>
      <x:c r="O116" s="21" t="n">
        <x:f>ROUND(L116*'تنظیمات'!$B$13,2)</x:f>
        <x:v>0</x:v>
      </x:c>
      <x:c r="P116" s="21" t="n">
        <x:f>ROUND((MIN(L116*12,'تنظیمات'!$B$17)*'تنظیمات'!$B$18+MAX(0,MIN(L116*12,'تنظیمات'!$B$19)-'تنظیمات'!$B$17)*'تنظیمات'!$B$20)/12,2)</x:f>
        <x:v>0</x:v>
      </x:c>
      <x:c r="Q116" s="21" t="n">
        <x:f>ROUND(MIN(L116*12,'تنظیمات'!$B$21)*'تنظیمات'!$B$22/12,2)</x:f>
        <x:v>0</x:v>
      </x:c>
      <x:c r="R116" s="21" t="n">
        <x:f>ROUND(MIN('تنظیمات'!$B$16,MAX(0,L116*12-'تنظیمات'!$B$14)*'تنظیمات'!$B$15)/12,2)</x:f>
        <x:v>0</x:v>
      </x:c>
      <x:c r="S116" s="21" t="n">
        <x:f>SUM(M116:R116)</x:f>
        <x:v>0</x:v>
      </x:c>
      <x:c r="T116" s="21" t="n">
        <x:f>L116-S116</x:f>
        <x:v>0</x:v>
      </x:c>
      <x:c r="U116" s="22" t="n">
        <x:f>'تنظیمات'!$B$5</x:f>
        <x:v>46266</x:v>
      </x:c>
      <x:c r="V116" s="22" t="n">
        <x:f>'تنظیمات'!$B$6</x:f>
        <x:v>46295</x:v>
      </x:c>
      <x:c r="W116" s="17" t="str">
        <x:f>IF(AND(A116&lt;&gt;"",T116&gt;=0),"OK","بررسی شود")</x:f>
        <x:v>بررسی شود</x:v>
      </x:c>
    </x:row>
    <x:row r="117">
      <x:c r="A117" s="13"/>
      <x:c r="B117" s="17" t="str">
        <x:f>IFERROR(VLOOKUP(A117,'کارمندان'!$A$5:$H$205,2,FALSE),"")</x:f>
      </x:c>
      <x:c r="C117" s="21" t="str">
        <x:f>IFERROR(VLOOKUP(A117,'کارمندان'!$A$5:$H$205,5,FALSE),0)</x:f>
      </x:c>
      <x:c r="D117" s="20" t="n">
        <x:f>SUMIFS('حضور و غیاب'!$J$5:$J$205,'حضور و غیاب'!$B$5:$B$205,$A117,'حضور و غیاب'!$A$5:$A$205,"&gt;="&amp;'تنظیمات'!$B$5,'حضور و غیاب'!$A$5:$A$205,"&lt;="&amp;'تنظیمات'!$B$6)</x:f>
        <x:v>0</x:v>
      </x:c>
      <x:c r="E117" s="20" t="n">
        <x:f>SUMIFS('حضور و غیاب'!$K$5:$K$205,'حضور و غیاب'!$B$5:$B$205,$A117,'حضور و غیاب'!$A$5:$A$205,"&gt;="&amp;'تنظیمات'!$B$5,'حضور و غیاب'!$A$5:$A$205,"&lt;="&amp;'تنظیمات'!$B$6)</x:f>
        <x:v>0</x:v>
      </x:c>
      <x:c r="F117" s="20" t="n">
        <x:f>SUMIFS('حضور و غیاب'!$G$5:$G$205,'حضور و غیاب'!$B$5:$B$205,$A117,'حضور و غیاب'!$F$5:$F$205,"Paid",'حضور و غیاب'!$A$5:$A$205,"&gt;="&amp;'تنظیمات'!$B$5,'حضور و غیاب'!$A$5:$A$205,"&lt;="&amp;'تنظیمات'!$B$6)</x:f>
        <x:v>0</x:v>
      </x:c>
      <x:c r="G117" s="20" t="n">
        <x:f>SUMIFS('حضور و غیاب'!$L$5:$L$205,'حضور و غیاب'!$B$5:$B$205,$A117,'حضور و غیاب'!$A$5:$A$205,"&gt;="&amp;'تنظیمات'!$B$5,'حضور و غیاب'!$A$5:$A$205,"&lt;="&amp;'تنظیمات'!$B$6)</x:f>
        <x:v>0</x:v>
      </x:c>
      <x:c r="H117" s="21" t="n">
        <x:f>ROUND(C117*D117,2)</x:f>
        <x:v>0</x:v>
      </x:c>
      <x:c r="I117" s="21" t="n">
        <x:f>ROUND(C117*E117*'تنظیمات'!$B$7,2)</x:f>
        <x:v>0</x:v>
      </x:c>
      <x:c r="J117" s="21" t="n">
        <x:f>ROUND(C117*F117,2)</x:f>
        <x:v>0</x:v>
      </x:c>
      <x:c r="K117" s="21" t="n">
        <x:f>ROUND((H117+I117+J117)*'تنظیمات'!$B$8,2)</x:f>
        <x:v>0</x:v>
      </x:c>
      <x:c r="L117" s="21" t="n">
        <x:f>SUM(H117:K117)</x:f>
        <x:v>0</x:v>
      </x:c>
      <x:c r="M117" s="21" t="n">
        <x:f>ROUND(MAX(0,L117-'تنظیمات'!$B$9)*'تنظیمات'!$B$10,2)</x:f>
        <x:v>0</x:v>
      </x:c>
      <x:c r="N117" s="21" t="n">
        <x:f>ROUND(MAX(0,L117*12-'تنظیمات'!$B$11)/12*'تنظیمات'!$B$12,2)</x:f>
        <x:v>0</x:v>
      </x:c>
      <x:c r="O117" s="21" t="n">
        <x:f>ROUND(L117*'تنظیمات'!$B$13,2)</x:f>
        <x:v>0</x:v>
      </x:c>
      <x:c r="P117" s="21" t="n">
        <x:f>ROUND((MIN(L117*12,'تنظیمات'!$B$17)*'تنظیمات'!$B$18+MAX(0,MIN(L117*12,'تنظیمات'!$B$19)-'تنظیمات'!$B$17)*'تنظیمات'!$B$20)/12,2)</x:f>
        <x:v>0</x:v>
      </x:c>
      <x:c r="Q117" s="21" t="n">
        <x:f>ROUND(MIN(L117*12,'تنظیمات'!$B$21)*'تنظیمات'!$B$22/12,2)</x:f>
        <x:v>0</x:v>
      </x:c>
      <x:c r="R117" s="21" t="n">
        <x:f>ROUND(MIN('تنظیمات'!$B$16,MAX(0,L117*12-'تنظیمات'!$B$14)*'تنظیمات'!$B$15)/12,2)</x:f>
        <x:v>0</x:v>
      </x:c>
      <x:c r="S117" s="21" t="n">
        <x:f>SUM(M117:R117)</x:f>
        <x:v>0</x:v>
      </x:c>
      <x:c r="T117" s="21" t="n">
        <x:f>L117-S117</x:f>
        <x:v>0</x:v>
      </x:c>
      <x:c r="U117" s="22" t="n">
        <x:f>'تنظیمات'!$B$5</x:f>
        <x:v>46266</x:v>
      </x:c>
      <x:c r="V117" s="22" t="n">
        <x:f>'تنظیمات'!$B$6</x:f>
        <x:v>46295</x:v>
      </x:c>
      <x:c r="W117" s="17" t="str">
        <x:f>IF(AND(A117&lt;&gt;"",T117&gt;=0),"OK","بررسی شود")</x:f>
        <x:v>بررسی شود</x:v>
      </x:c>
    </x:row>
    <x:row r="118">
      <x:c r="A118" s="13"/>
      <x:c r="B118" s="17" t="str">
        <x:f>IFERROR(VLOOKUP(A118,'کارمندان'!$A$5:$H$205,2,FALSE),"")</x:f>
      </x:c>
      <x:c r="C118" s="21" t="str">
        <x:f>IFERROR(VLOOKUP(A118,'کارمندان'!$A$5:$H$205,5,FALSE),0)</x:f>
      </x:c>
      <x:c r="D118" s="20" t="n">
        <x:f>SUMIFS('حضور و غیاب'!$J$5:$J$205,'حضور و غیاب'!$B$5:$B$205,$A118,'حضور و غیاب'!$A$5:$A$205,"&gt;="&amp;'تنظیمات'!$B$5,'حضور و غیاب'!$A$5:$A$205,"&lt;="&amp;'تنظیمات'!$B$6)</x:f>
        <x:v>0</x:v>
      </x:c>
      <x:c r="E118" s="20" t="n">
        <x:f>SUMIFS('حضور و غیاب'!$K$5:$K$205,'حضور و غیاب'!$B$5:$B$205,$A118,'حضور و غیاب'!$A$5:$A$205,"&gt;="&amp;'تنظیمات'!$B$5,'حضور و غیاب'!$A$5:$A$205,"&lt;="&amp;'تنظیمات'!$B$6)</x:f>
        <x:v>0</x:v>
      </x:c>
      <x:c r="F118" s="20" t="n">
        <x:f>SUMIFS('حضور و غیاب'!$G$5:$G$205,'حضور و غیاب'!$B$5:$B$205,$A118,'حضور و غیاب'!$F$5:$F$205,"Paid",'حضور و غیاب'!$A$5:$A$205,"&gt;="&amp;'تنظیمات'!$B$5,'حضور و غیاب'!$A$5:$A$205,"&lt;="&amp;'تنظیمات'!$B$6)</x:f>
        <x:v>0</x:v>
      </x:c>
      <x:c r="G118" s="20" t="n">
        <x:f>SUMIFS('حضور و غیاب'!$L$5:$L$205,'حضور و غیاب'!$B$5:$B$205,$A118,'حضور و غیاب'!$A$5:$A$205,"&gt;="&amp;'تنظیمات'!$B$5,'حضور و غیاب'!$A$5:$A$205,"&lt;="&amp;'تنظیمات'!$B$6)</x:f>
        <x:v>0</x:v>
      </x:c>
      <x:c r="H118" s="21" t="n">
        <x:f>ROUND(C118*D118,2)</x:f>
        <x:v>0</x:v>
      </x:c>
      <x:c r="I118" s="21" t="n">
        <x:f>ROUND(C118*E118*'تنظیمات'!$B$7,2)</x:f>
        <x:v>0</x:v>
      </x:c>
      <x:c r="J118" s="21" t="n">
        <x:f>ROUND(C118*F118,2)</x:f>
        <x:v>0</x:v>
      </x:c>
      <x:c r="K118" s="21" t="n">
        <x:f>ROUND((H118+I118+J118)*'تنظیمات'!$B$8,2)</x:f>
        <x:v>0</x:v>
      </x:c>
      <x:c r="L118" s="21" t="n">
        <x:f>SUM(H118:K118)</x:f>
        <x:v>0</x:v>
      </x:c>
      <x:c r="M118" s="21" t="n">
        <x:f>ROUND(MAX(0,L118-'تنظیمات'!$B$9)*'تنظیمات'!$B$10,2)</x:f>
        <x:v>0</x:v>
      </x:c>
      <x:c r="N118" s="21" t="n">
        <x:f>ROUND(MAX(0,L118*12-'تنظیمات'!$B$11)/12*'تنظیمات'!$B$12,2)</x:f>
        <x:v>0</x:v>
      </x:c>
      <x:c r="O118" s="21" t="n">
        <x:f>ROUND(L118*'تنظیمات'!$B$13,2)</x:f>
        <x:v>0</x:v>
      </x:c>
      <x:c r="P118" s="21" t="n">
        <x:f>ROUND((MIN(L118*12,'تنظیمات'!$B$17)*'تنظیمات'!$B$18+MAX(0,MIN(L118*12,'تنظیمات'!$B$19)-'تنظیمات'!$B$17)*'تنظیمات'!$B$20)/12,2)</x:f>
        <x:v>0</x:v>
      </x:c>
      <x:c r="Q118" s="21" t="n">
        <x:f>ROUND(MIN(L118*12,'تنظیمات'!$B$21)*'تنظیمات'!$B$22/12,2)</x:f>
        <x:v>0</x:v>
      </x:c>
      <x:c r="R118" s="21" t="n">
        <x:f>ROUND(MIN('تنظیمات'!$B$16,MAX(0,L118*12-'تنظیمات'!$B$14)*'تنظیمات'!$B$15)/12,2)</x:f>
        <x:v>0</x:v>
      </x:c>
      <x:c r="S118" s="21" t="n">
        <x:f>SUM(M118:R118)</x:f>
        <x:v>0</x:v>
      </x:c>
      <x:c r="T118" s="21" t="n">
        <x:f>L118-S118</x:f>
        <x:v>0</x:v>
      </x:c>
      <x:c r="U118" s="22" t="n">
        <x:f>'تنظیمات'!$B$5</x:f>
        <x:v>46266</x:v>
      </x:c>
      <x:c r="V118" s="22" t="n">
        <x:f>'تنظیمات'!$B$6</x:f>
        <x:v>46295</x:v>
      </x:c>
      <x:c r="W118" s="17" t="str">
        <x:f>IF(AND(A118&lt;&gt;"",T118&gt;=0),"OK","بررسی شود")</x:f>
        <x:v>بررسی شود</x:v>
      </x:c>
    </x:row>
    <x:row r="119">
      <x:c r="A119" s="13"/>
      <x:c r="B119" s="17" t="str">
        <x:f>IFERROR(VLOOKUP(A119,'کارمندان'!$A$5:$H$205,2,FALSE),"")</x:f>
      </x:c>
      <x:c r="C119" s="21" t="str">
        <x:f>IFERROR(VLOOKUP(A119,'کارمندان'!$A$5:$H$205,5,FALSE),0)</x:f>
      </x:c>
      <x:c r="D119" s="20" t="n">
        <x:f>SUMIFS('حضور و غیاب'!$J$5:$J$205,'حضور و غیاب'!$B$5:$B$205,$A119,'حضور و غیاب'!$A$5:$A$205,"&gt;="&amp;'تنظیمات'!$B$5,'حضور و غیاب'!$A$5:$A$205,"&lt;="&amp;'تنظیمات'!$B$6)</x:f>
        <x:v>0</x:v>
      </x:c>
      <x:c r="E119" s="20" t="n">
        <x:f>SUMIFS('حضور و غیاب'!$K$5:$K$205,'حضور و غیاب'!$B$5:$B$205,$A119,'حضور و غیاب'!$A$5:$A$205,"&gt;="&amp;'تنظیمات'!$B$5,'حضور و غیاب'!$A$5:$A$205,"&lt;="&amp;'تنظیمات'!$B$6)</x:f>
        <x:v>0</x:v>
      </x:c>
      <x:c r="F119" s="20" t="n">
        <x:f>SUMIFS('حضور و غیاب'!$G$5:$G$205,'حضور و غیاب'!$B$5:$B$205,$A119,'حضور و غیاب'!$F$5:$F$205,"Paid",'حضور و غیاب'!$A$5:$A$205,"&gt;="&amp;'تنظیمات'!$B$5,'حضور و غیاب'!$A$5:$A$205,"&lt;="&amp;'تنظیمات'!$B$6)</x:f>
        <x:v>0</x:v>
      </x:c>
      <x:c r="G119" s="20" t="n">
        <x:f>SUMIFS('حضور و غیاب'!$L$5:$L$205,'حضور و غیاب'!$B$5:$B$205,$A119,'حضور و غیاب'!$A$5:$A$205,"&gt;="&amp;'تنظیمات'!$B$5,'حضور و غیاب'!$A$5:$A$205,"&lt;="&amp;'تنظیمات'!$B$6)</x:f>
        <x:v>0</x:v>
      </x:c>
      <x:c r="H119" s="21" t="n">
        <x:f>ROUND(C119*D119,2)</x:f>
        <x:v>0</x:v>
      </x:c>
      <x:c r="I119" s="21" t="n">
        <x:f>ROUND(C119*E119*'تنظیمات'!$B$7,2)</x:f>
        <x:v>0</x:v>
      </x:c>
      <x:c r="J119" s="21" t="n">
        <x:f>ROUND(C119*F119,2)</x:f>
        <x:v>0</x:v>
      </x:c>
      <x:c r="K119" s="21" t="n">
        <x:f>ROUND((H119+I119+J119)*'تنظیمات'!$B$8,2)</x:f>
        <x:v>0</x:v>
      </x:c>
      <x:c r="L119" s="21" t="n">
        <x:f>SUM(H119:K119)</x:f>
        <x:v>0</x:v>
      </x:c>
      <x:c r="M119" s="21" t="n">
        <x:f>ROUND(MAX(0,L119-'تنظیمات'!$B$9)*'تنظیمات'!$B$10,2)</x:f>
        <x:v>0</x:v>
      </x:c>
      <x:c r="N119" s="21" t="n">
        <x:f>ROUND(MAX(0,L119*12-'تنظیمات'!$B$11)/12*'تنظیمات'!$B$12,2)</x:f>
        <x:v>0</x:v>
      </x:c>
      <x:c r="O119" s="21" t="n">
        <x:f>ROUND(L119*'تنظیمات'!$B$13,2)</x:f>
        <x:v>0</x:v>
      </x:c>
      <x:c r="P119" s="21" t="n">
        <x:f>ROUND((MIN(L119*12,'تنظیمات'!$B$17)*'تنظیمات'!$B$18+MAX(0,MIN(L119*12,'تنظیمات'!$B$19)-'تنظیمات'!$B$17)*'تنظیمات'!$B$20)/12,2)</x:f>
        <x:v>0</x:v>
      </x:c>
      <x:c r="Q119" s="21" t="n">
        <x:f>ROUND(MIN(L119*12,'تنظیمات'!$B$21)*'تنظیمات'!$B$22/12,2)</x:f>
        <x:v>0</x:v>
      </x:c>
      <x:c r="R119" s="21" t="n">
        <x:f>ROUND(MIN('تنظیمات'!$B$16,MAX(0,L119*12-'تنظیمات'!$B$14)*'تنظیمات'!$B$15)/12,2)</x:f>
        <x:v>0</x:v>
      </x:c>
      <x:c r="S119" s="21" t="n">
        <x:f>SUM(M119:R119)</x:f>
        <x:v>0</x:v>
      </x:c>
      <x:c r="T119" s="21" t="n">
        <x:f>L119-S119</x:f>
        <x:v>0</x:v>
      </x:c>
      <x:c r="U119" s="22" t="n">
        <x:f>'تنظیمات'!$B$5</x:f>
        <x:v>46266</x:v>
      </x:c>
      <x:c r="V119" s="22" t="n">
        <x:f>'تنظیمات'!$B$6</x:f>
        <x:v>46295</x:v>
      </x:c>
      <x:c r="W119" s="17" t="str">
        <x:f>IF(AND(A119&lt;&gt;"",T119&gt;=0),"OK","بررسی شود")</x:f>
        <x:v>بررسی شود</x:v>
      </x:c>
    </x:row>
    <x:row r="120">
      <x:c r="A120" s="13"/>
      <x:c r="B120" s="17" t="str">
        <x:f>IFERROR(VLOOKUP(A120,'کارمندان'!$A$5:$H$205,2,FALSE),"")</x:f>
      </x:c>
      <x:c r="C120" s="21" t="str">
        <x:f>IFERROR(VLOOKUP(A120,'کارمندان'!$A$5:$H$205,5,FALSE),0)</x:f>
      </x:c>
      <x:c r="D120" s="20" t="n">
        <x:f>SUMIFS('حضور و غیاب'!$J$5:$J$205,'حضور و غیاب'!$B$5:$B$205,$A120,'حضور و غیاب'!$A$5:$A$205,"&gt;="&amp;'تنظیمات'!$B$5,'حضور و غیاب'!$A$5:$A$205,"&lt;="&amp;'تنظیمات'!$B$6)</x:f>
        <x:v>0</x:v>
      </x:c>
      <x:c r="E120" s="20" t="n">
        <x:f>SUMIFS('حضور و غیاب'!$K$5:$K$205,'حضور و غیاب'!$B$5:$B$205,$A120,'حضور و غیاب'!$A$5:$A$205,"&gt;="&amp;'تنظیمات'!$B$5,'حضور و غیاب'!$A$5:$A$205,"&lt;="&amp;'تنظیمات'!$B$6)</x:f>
        <x:v>0</x:v>
      </x:c>
      <x:c r="F120" s="20" t="n">
        <x:f>SUMIFS('حضور و غیاب'!$G$5:$G$205,'حضور و غیاب'!$B$5:$B$205,$A120,'حضور و غیاب'!$F$5:$F$205,"Paid",'حضور و غیاب'!$A$5:$A$205,"&gt;="&amp;'تنظیمات'!$B$5,'حضور و غیاب'!$A$5:$A$205,"&lt;="&amp;'تنظیمات'!$B$6)</x:f>
        <x:v>0</x:v>
      </x:c>
      <x:c r="G120" s="20" t="n">
        <x:f>SUMIFS('حضور و غیاب'!$L$5:$L$205,'حضور و غیاب'!$B$5:$B$205,$A120,'حضور و غیاب'!$A$5:$A$205,"&gt;="&amp;'تنظیمات'!$B$5,'حضور و غیاب'!$A$5:$A$205,"&lt;="&amp;'تنظیمات'!$B$6)</x:f>
        <x:v>0</x:v>
      </x:c>
      <x:c r="H120" s="21" t="n">
        <x:f>ROUND(C120*D120,2)</x:f>
        <x:v>0</x:v>
      </x:c>
      <x:c r="I120" s="21" t="n">
        <x:f>ROUND(C120*E120*'تنظیمات'!$B$7,2)</x:f>
        <x:v>0</x:v>
      </x:c>
      <x:c r="J120" s="21" t="n">
        <x:f>ROUND(C120*F120,2)</x:f>
        <x:v>0</x:v>
      </x:c>
      <x:c r="K120" s="21" t="n">
        <x:f>ROUND((H120+I120+J120)*'تنظیمات'!$B$8,2)</x:f>
        <x:v>0</x:v>
      </x:c>
      <x:c r="L120" s="21" t="n">
        <x:f>SUM(H120:K120)</x:f>
        <x:v>0</x:v>
      </x:c>
      <x:c r="M120" s="21" t="n">
        <x:f>ROUND(MAX(0,L120-'تنظیمات'!$B$9)*'تنظیمات'!$B$10,2)</x:f>
        <x:v>0</x:v>
      </x:c>
      <x:c r="N120" s="21" t="n">
        <x:f>ROUND(MAX(0,L120*12-'تنظیمات'!$B$11)/12*'تنظیمات'!$B$12,2)</x:f>
        <x:v>0</x:v>
      </x:c>
      <x:c r="O120" s="21" t="n">
        <x:f>ROUND(L120*'تنظیمات'!$B$13,2)</x:f>
        <x:v>0</x:v>
      </x:c>
      <x:c r="P120" s="21" t="n">
        <x:f>ROUND((MIN(L120*12,'تنظیمات'!$B$17)*'تنظیمات'!$B$18+MAX(0,MIN(L120*12,'تنظیمات'!$B$19)-'تنظیمات'!$B$17)*'تنظیمات'!$B$20)/12,2)</x:f>
        <x:v>0</x:v>
      </x:c>
      <x:c r="Q120" s="21" t="n">
        <x:f>ROUND(MIN(L120*12,'تنظیمات'!$B$21)*'تنظیمات'!$B$22/12,2)</x:f>
        <x:v>0</x:v>
      </x:c>
      <x:c r="R120" s="21" t="n">
        <x:f>ROUND(MIN('تنظیمات'!$B$16,MAX(0,L120*12-'تنظیمات'!$B$14)*'تنظیمات'!$B$15)/12,2)</x:f>
        <x:v>0</x:v>
      </x:c>
      <x:c r="S120" s="21" t="n">
        <x:f>SUM(M120:R120)</x:f>
        <x:v>0</x:v>
      </x:c>
      <x:c r="T120" s="21" t="n">
        <x:f>L120-S120</x:f>
        <x:v>0</x:v>
      </x:c>
      <x:c r="U120" s="22" t="n">
        <x:f>'تنظیمات'!$B$5</x:f>
        <x:v>46266</x:v>
      </x:c>
      <x:c r="V120" s="22" t="n">
        <x:f>'تنظیمات'!$B$6</x:f>
        <x:v>46295</x:v>
      </x:c>
      <x:c r="W120" s="17" t="str">
        <x:f>IF(AND(A120&lt;&gt;"",T120&gt;=0),"OK","بررسی شود")</x:f>
        <x:v>بررسی شود</x:v>
      </x:c>
    </x:row>
    <x:row r="121">
      <x:c r="A121" s="13"/>
      <x:c r="B121" s="17" t="str">
        <x:f>IFERROR(VLOOKUP(A121,'کارمندان'!$A$5:$H$205,2,FALSE),"")</x:f>
      </x:c>
      <x:c r="C121" s="21" t="str">
        <x:f>IFERROR(VLOOKUP(A121,'کارمندان'!$A$5:$H$205,5,FALSE),0)</x:f>
      </x:c>
      <x:c r="D121" s="20" t="n">
        <x:f>SUMIFS('حضور و غیاب'!$J$5:$J$205,'حضور و غیاب'!$B$5:$B$205,$A121,'حضور و غیاب'!$A$5:$A$205,"&gt;="&amp;'تنظیمات'!$B$5,'حضور و غیاب'!$A$5:$A$205,"&lt;="&amp;'تنظیمات'!$B$6)</x:f>
        <x:v>0</x:v>
      </x:c>
      <x:c r="E121" s="20" t="n">
        <x:f>SUMIFS('حضور و غیاب'!$K$5:$K$205,'حضور و غیاب'!$B$5:$B$205,$A121,'حضور و غیاب'!$A$5:$A$205,"&gt;="&amp;'تنظیمات'!$B$5,'حضور و غیاب'!$A$5:$A$205,"&lt;="&amp;'تنظیمات'!$B$6)</x:f>
        <x:v>0</x:v>
      </x:c>
      <x:c r="F121" s="20" t="n">
        <x:f>SUMIFS('حضور و غیاب'!$G$5:$G$205,'حضور و غیاب'!$B$5:$B$205,$A121,'حضور و غیاب'!$F$5:$F$205,"Paid",'حضور و غیاب'!$A$5:$A$205,"&gt;="&amp;'تنظیمات'!$B$5,'حضور و غیاب'!$A$5:$A$205,"&lt;="&amp;'تنظیمات'!$B$6)</x:f>
        <x:v>0</x:v>
      </x:c>
      <x:c r="G121" s="20" t="n">
        <x:f>SUMIFS('حضور و غیاب'!$L$5:$L$205,'حضور و غیاب'!$B$5:$B$205,$A121,'حضور و غیاب'!$A$5:$A$205,"&gt;="&amp;'تنظیمات'!$B$5,'حضور و غیاب'!$A$5:$A$205,"&lt;="&amp;'تنظیمات'!$B$6)</x:f>
        <x:v>0</x:v>
      </x:c>
      <x:c r="H121" s="21" t="n">
        <x:f>ROUND(C121*D121,2)</x:f>
        <x:v>0</x:v>
      </x:c>
      <x:c r="I121" s="21" t="n">
        <x:f>ROUND(C121*E121*'تنظیمات'!$B$7,2)</x:f>
        <x:v>0</x:v>
      </x:c>
      <x:c r="J121" s="21" t="n">
        <x:f>ROUND(C121*F121,2)</x:f>
        <x:v>0</x:v>
      </x:c>
      <x:c r="K121" s="21" t="n">
        <x:f>ROUND((H121+I121+J121)*'تنظیمات'!$B$8,2)</x:f>
        <x:v>0</x:v>
      </x:c>
      <x:c r="L121" s="21" t="n">
        <x:f>SUM(H121:K121)</x:f>
        <x:v>0</x:v>
      </x:c>
      <x:c r="M121" s="21" t="n">
        <x:f>ROUND(MAX(0,L121-'تنظیمات'!$B$9)*'تنظیمات'!$B$10,2)</x:f>
        <x:v>0</x:v>
      </x:c>
      <x:c r="N121" s="21" t="n">
        <x:f>ROUND(MAX(0,L121*12-'تنظیمات'!$B$11)/12*'تنظیمات'!$B$12,2)</x:f>
        <x:v>0</x:v>
      </x:c>
      <x:c r="O121" s="21" t="n">
        <x:f>ROUND(L121*'تنظیمات'!$B$13,2)</x:f>
        <x:v>0</x:v>
      </x:c>
      <x:c r="P121" s="21" t="n">
        <x:f>ROUND((MIN(L121*12,'تنظیمات'!$B$17)*'تنظیمات'!$B$18+MAX(0,MIN(L121*12,'تنظیمات'!$B$19)-'تنظیمات'!$B$17)*'تنظیمات'!$B$20)/12,2)</x:f>
        <x:v>0</x:v>
      </x:c>
      <x:c r="Q121" s="21" t="n">
        <x:f>ROUND(MIN(L121*12,'تنظیمات'!$B$21)*'تنظیمات'!$B$22/12,2)</x:f>
        <x:v>0</x:v>
      </x:c>
      <x:c r="R121" s="21" t="n">
        <x:f>ROUND(MIN('تنظیمات'!$B$16,MAX(0,L121*12-'تنظیمات'!$B$14)*'تنظیمات'!$B$15)/12,2)</x:f>
        <x:v>0</x:v>
      </x:c>
      <x:c r="S121" s="21" t="n">
        <x:f>SUM(M121:R121)</x:f>
        <x:v>0</x:v>
      </x:c>
      <x:c r="T121" s="21" t="n">
        <x:f>L121-S121</x:f>
        <x:v>0</x:v>
      </x:c>
      <x:c r="U121" s="22" t="n">
        <x:f>'تنظیمات'!$B$5</x:f>
        <x:v>46266</x:v>
      </x:c>
      <x:c r="V121" s="22" t="n">
        <x:f>'تنظیمات'!$B$6</x:f>
        <x:v>46295</x:v>
      </x:c>
      <x:c r="W121" s="17" t="str">
        <x:f>IF(AND(A121&lt;&gt;"",T121&gt;=0),"OK","بررسی شود")</x:f>
        <x:v>بررسی شود</x:v>
      </x:c>
    </x:row>
    <x:row r="122">
      <x:c r="A122" s="13"/>
      <x:c r="B122" s="17" t="str">
        <x:f>IFERROR(VLOOKUP(A122,'کارمندان'!$A$5:$H$205,2,FALSE),"")</x:f>
      </x:c>
      <x:c r="C122" s="21" t="str">
        <x:f>IFERROR(VLOOKUP(A122,'کارمندان'!$A$5:$H$205,5,FALSE),0)</x:f>
      </x:c>
      <x:c r="D122" s="20" t="n">
        <x:f>SUMIFS('حضور و غیاب'!$J$5:$J$205,'حضور و غیاب'!$B$5:$B$205,$A122,'حضور و غیاب'!$A$5:$A$205,"&gt;="&amp;'تنظیمات'!$B$5,'حضور و غیاب'!$A$5:$A$205,"&lt;="&amp;'تنظیمات'!$B$6)</x:f>
        <x:v>0</x:v>
      </x:c>
      <x:c r="E122" s="20" t="n">
        <x:f>SUMIFS('حضور و غیاب'!$K$5:$K$205,'حضور و غیاب'!$B$5:$B$205,$A122,'حضور و غیاب'!$A$5:$A$205,"&gt;="&amp;'تنظیمات'!$B$5,'حضور و غیاب'!$A$5:$A$205,"&lt;="&amp;'تنظیمات'!$B$6)</x:f>
        <x:v>0</x:v>
      </x:c>
      <x:c r="F122" s="20" t="n">
        <x:f>SUMIFS('حضور و غیاب'!$G$5:$G$205,'حضور و غیاب'!$B$5:$B$205,$A122,'حضور و غیاب'!$F$5:$F$205,"Paid",'حضور و غیاب'!$A$5:$A$205,"&gt;="&amp;'تنظیمات'!$B$5,'حضور و غیاب'!$A$5:$A$205,"&lt;="&amp;'تنظیمات'!$B$6)</x:f>
        <x:v>0</x:v>
      </x:c>
      <x:c r="G122" s="20" t="n">
        <x:f>SUMIFS('حضور و غیاب'!$L$5:$L$205,'حضور و غیاب'!$B$5:$B$205,$A122,'حضور و غیاب'!$A$5:$A$205,"&gt;="&amp;'تنظیمات'!$B$5,'حضور و غیاب'!$A$5:$A$205,"&lt;="&amp;'تنظیمات'!$B$6)</x:f>
        <x:v>0</x:v>
      </x:c>
      <x:c r="H122" s="21" t="n">
        <x:f>ROUND(C122*D122,2)</x:f>
        <x:v>0</x:v>
      </x:c>
      <x:c r="I122" s="21" t="n">
        <x:f>ROUND(C122*E122*'تنظیمات'!$B$7,2)</x:f>
        <x:v>0</x:v>
      </x:c>
      <x:c r="J122" s="21" t="n">
        <x:f>ROUND(C122*F122,2)</x:f>
        <x:v>0</x:v>
      </x:c>
      <x:c r="K122" s="21" t="n">
        <x:f>ROUND((H122+I122+J122)*'تنظیمات'!$B$8,2)</x:f>
        <x:v>0</x:v>
      </x:c>
      <x:c r="L122" s="21" t="n">
        <x:f>SUM(H122:K122)</x:f>
        <x:v>0</x:v>
      </x:c>
      <x:c r="M122" s="21" t="n">
        <x:f>ROUND(MAX(0,L122-'تنظیمات'!$B$9)*'تنظیمات'!$B$10,2)</x:f>
        <x:v>0</x:v>
      </x:c>
      <x:c r="N122" s="21" t="n">
        <x:f>ROUND(MAX(0,L122*12-'تنظیمات'!$B$11)/12*'تنظیمات'!$B$12,2)</x:f>
        <x:v>0</x:v>
      </x:c>
      <x:c r="O122" s="21" t="n">
        <x:f>ROUND(L122*'تنظیمات'!$B$13,2)</x:f>
        <x:v>0</x:v>
      </x:c>
      <x:c r="P122" s="21" t="n">
        <x:f>ROUND((MIN(L122*12,'تنظیمات'!$B$17)*'تنظیمات'!$B$18+MAX(0,MIN(L122*12,'تنظیمات'!$B$19)-'تنظیمات'!$B$17)*'تنظیمات'!$B$20)/12,2)</x:f>
        <x:v>0</x:v>
      </x:c>
      <x:c r="Q122" s="21" t="n">
        <x:f>ROUND(MIN(L122*12,'تنظیمات'!$B$21)*'تنظیمات'!$B$22/12,2)</x:f>
        <x:v>0</x:v>
      </x:c>
      <x:c r="R122" s="21" t="n">
        <x:f>ROUND(MIN('تنظیمات'!$B$16,MAX(0,L122*12-'تنظیمات'!$B$14)*'تنظیمات'!$B$15)/12,2)</x:f>
        <x:v>0</x:v>
      </x:c>
      <x:c r="S122" s="21" t="n">
        <x:f>SUM(M122:R122)</x:f>
        <x:v>0</x:v>
      </x:c>
      <x:c r="T122" s="21" t="n">
        <x:f>L122-S122</x:f>
        <x:v>0</x:v>
      </x:c>
      <x:c r="U122" s="22" t="n">
        <x:f>'تنظیمات'!$B$5</x:f>
        <x:v>46266</x:v>
      </x:c>
      <x:c r="V122" s="22" t="n">
        <x:f>'تنظیمات'!$B$6</x:f>
        <x:v>46295</x:v>
      </x:c>
      <x:c r="W122" s="17" t="str">
        <x:f>IF(AND(A122&lt;&gt;"",T122&gt;=0),"OK","بررسی شود")</x:f>
        <x:v>بررسی شود</x:v>
      </x:c>
    </x:row>
    <x:row r="123">
      <x:c r="A123" s="13"/>
      <x:c r="B123" s="17" t="str">
        <x:f>IFERROR(VLOOKUP(A123,'کارمندان'!$A$5:$H$205,2,FALSE),"")</x:f>
      </x:c>
      <x:c r="C123" s="21" t="str">
        <x:f>IFERROR(VLOOKUP(A123,'کارمندان'!$A$5:$H$205,5,FALSE),0)</x:f>
      </x:c>
      <x:c r="D123" s="20" t="n">
        <x:f>SUMIFS('حضور و غیاب'!$J$5:$J$205,'حضور و غیاب'!$B$5:$B$205,$A123,'حضور و غیاب'!$A$5:$A$205,"&gt;="&amp;'تنظیمات'!$B$5,'حضور و غیاب'!$A$5:$A$205,"&lt;="&amp;'تنظیمات'!$B$6)</x:f>
        <x:v>0</x:v>
      </x:c>
      <x:c r="E123" s="20" t="n">
        <x:f>SUMIFS('حضور و غیاب'!$K$5:$K$205,'حضور و غیاب'!$B$5:$B$205,$A123,'حضور و غیاب'!$A$5:$A$205,"&gt;="&amp;'تنظیمات'!$B$5,'حضور و غیاب'!$A$5:$A$205,"&lt;="&amp;'تنظیمات'!$B$6)</x:f>
        <x:v>0</x:v>
      </x:c>
      <x:c r="F123" s="20" t="n">
        <x:f>SUMIFS('حضور و غیاب'!$G$5:$G$205,'حضور و غیاب'!$B$5:$B$205,$A123,'حضور و غیاب'!$F$5:$F$205,"Paid",'حضور و غیاب'!$A$5:$A$205,"&gt;="&amp;'تنظیمات'!$B$5,'حضور و غیاب'!$A$5:$A$205,"&lt;="&amp;'تنظیمات'!$B$6)</x:f>
        <x:v>0</x:v>
      </x:c>
      <x:c r="G123" s="20" t="n">
        <x:f>SUMIFS('حضور و غیاب'!$L$5:$L$205,'حضور و غیاب'!$B$5:$B$205,$A123,'حضور و غیاب'!$A$5:$A$205,"&gt;="&amp;'تنظیمات'!$B$5,'حضور و غیاب'!$A$5:$A$205,"&lt;="&amp;'تنظیمات'!$B$6)</x:f>
        <x:v>0</x:v>
      </x:c>
      <x:c r="H123" s="21" t="n">
        <x:f>ROUND(C123*D123,2)</x:f>
        <x:v>0</x:v>
      </x:c>
      <x:c r="I123" s="21" t="n">
        <x:f>ROUND(C123*E123*'تنظیمات'!$B$7,2)</x:f>
        <x:v>0</x:v>
      </x:c>
      <x:c r="J123" s="21" t="n">
        <x:f>ROUND(C123*F123,2)</x:f>
        <x:v>0</x:v>
      </x:c>
      <x:c r="K123" s="21" t="n">
        <x:f>ROUND((H123+I123+J123)*'تنظیمات'!$B$8,2)</x:f>
        <x:v>0</x:v>
      </x:c>
      <x:c r="L123" s="21" t="n">
        <x:f>SUM(H123:K123)</x:f>
        <x:v>0</x:v>
      </x:c>
      <x:c r="M123" s="21" t="n">
        <x:f>ROUND(MAX(0,L123-'تنظیمات'!$B$9)*'تنظیمات'!$B$10,2)</x:f>
        <x:v>0</x:v>
      </x:c>
      <x:c r="N123" s="21" t="n">
        <x:f>ROUND(MAX(0,L123*12-'تنظیمات'!$B$11)/12*'تنظیمات'!$B$12,2)</x:f>
        <x:v>0</x:v>
      </x:c>
      <x:c r="O123" s="21" t="n">
        <x:f>ROUND(L123*'تنظیمات'!$B$13,2)</x:f>
        <x:v>0</x:v>
      </x:c>
      <x:c r="P123" s="21" t="n">
        <x:f>ROUND((MIN(L123*12,'تنظیمات'!$B$17)*'تنظیمات'!$B$18+MAX(0,MIN(L123*12,'تنظیمات'!$B$19)-'تنظیمات'!$B$17)*'تنظیمات'!$B$20)/12,2)</x:f>
        <x:v>0</x:v>
      </x:c>
      <x:c r="Q123" s="21" t="n">
        <x:f>ROUND(MIN(L123*12,'تنظیمات'!$B$21)*'تنظیمات'!$B$22/12,2)</x:f>
        <x:v>0</x:v>
      </x:c>
      <x:c r="R123" s="21" t="n">
        <x:f>ROUND(MIN('تنظیمات'!$B$16,MAX(0,L123*12-'تنظیمات'!$B$14)*'تنظیمات'!$B$15)/12,2)</x:f>
        <x:v>0</x:v>
      </x:c>
      <x:c r="S123" s="21" t="n">
        <x:f>SUM(M123:R123)</x:f>
        <x:v>0</x:v>
      </x:c>
      <x:c r="T123" s="21" t="n">
        <x:f>L123-S123</x:f>
        <x:v>0</x:v>
      </x:c>
      <x:c r="U123" s="22" t="n">
        <x:f>'تنظیمات'!$B$5</x:f>
        <x:v>46266</x:v>
      </x:c>
      <x:c r="V123" s="22" t="n">
        <x:f>'تنظیمات'!$B$6</x:f>
        <x:v>46295</x:v>
      </x:c>
      <x:c r="W123" s="17" t="str">
        <x:f>IF(AND(A123&lt;&gt;"",T123&gt;=0),"OK","بررسی شود")</x:f>
        <x:v>بررسی شود</x:v>
      </x:c>
    </x:row>
    <x:row r="124">
      <x:c r="A124" s="13"/>
      <x:c r="B124" s="17" t="str">
        <x:f>IFERROR(VLOOKUP(A124,'کارمندان'!$A$5:$H$205,2,FALSE),"")</x:f>
      </x:c>
      <x:c r="C124" s="21" t="str">
        <x:f>IFERROR(VLOOKUP(A124,'کارمندان'!$A$5:$H$205,5,FALSE),0)</x:f>
      </x:c>
      <x:c r="D124" s="20" t="n">
        <x:f>SUMIFS('حضور و غیاب'!$J$5:$J$205,'حضور و غیاب'!$B$5:$B$205,$A124,'حضور و غیاب'!$A$5:$A$205,"&gt;="&amp;'تنظیمات'!$B$5,'حضور و غیاب'!$A$5:$A$205,"&lt;="&amp;'تنظیمات'!$B$6)</x:f>
        <x:v>0</x:v>
      </x:c>
      <x:c r="E124" s="20" t="n">
        <x:f>SUMIFS('حضور و غیاب'!$K$5:$K$205,'حضور و غیاب'!$B$5:$B$205,$A124,'حضور و غیاب'!$A$5:$A$205,"&gt;="&amp;'تنظیمات'!$B$5,'حضور و غیاب'!$A$5:$A$205,"&lt;="&amp;'تنظیمات'!$B$6)</x:f>
        <x:v>0</x:v>
      </x:c>
      <x:c r="F124" s="20" t="n">
        <x:f>SUMIFS('حضور و غیاب'!$G$5:$G$205,'حضور و غیاب'!$B$5:$B$205,$A124,'حضور و غیاب'!$F$5:$F$205,"Paid",'حضور و غیاب'!$A$5:$A$205,"&gt;="&amp;'تنظیمات'!$B$5,'حضور و غیاب'!$A$5:$A$205,"&lt;="&amp;'تنظیمات'!$B$6)</x:f>
        <x:v>0</x:v>
      </x:c>
      <x:c r="G124" s="20" t="n">
        <x:f>SUMIFS('حضور و غیاب'!$L$5:$L$205,'حضور و غیاب'!$B$5:$B$205,$A124,'حضور و غیاب'!$A$5:$A$205,"&gt;="&amp;'تنظیمات'!$B$5,'حضور و غیاب'!$A$5:$A$205,"&lt;="&amp;'تنظیمات'!$B$6)</x:f>
        <x:v>0</x:v>
      </x:c>
      <x:c r="H124" s="21" t="n">
        <x:f>ROUND(C124*D124,2)</x:f>
        <x:v>0</x:v>
      </x:c>
      <x:c r="I124" s="21" t="n">
        <x:f>ROUND(C124*E124*'تنظیمات'!$B$7,2)</x:f>
        <x:v>0</x:v>
      </x:c>
      <x:c r="J124" s="21" t="n">
        <x:f>ROUND(C124*F124,2)</x:f>
        <x:v>0</x:v>
      </x:c>
      <x:c r="K124" s="21" t="n">
        <x:f>ROUND((H124+I124+J124)*'تنظیمات'!$B$8,2)</x:f>
        <x:v>0</x:v>
      </x:c>
      <x:c r="L124" s="21" t="n">
        <x:f>SUM(H124:K124)</x:f>
        <x:v>0</x:v>
      </x:c>
      <x:c r="M124" s="21" t="n">
        <x:f>ROUND(MAX(0,L124-'تنظیمات'!$B$9)*'تنظیمات'!$B$10,2)</x:f>
        <x:v>0</x:v>
      </x:c>
      <x:c r="N124" s="21" t="n">
        <x:f>ROUND(MAX(0,L124*12-'تنظیمات'!$B$11)/12*'تنظیمات'!$B$12,2)</x:f>
        <x:v>0</x:v>
      </x:c>
      <x:c r="O124" s="21" t="n">
        <x:f>ROUND(L124*'تنظیمات'!$B$13,2)</x:f>
        <x:v>0</x:v>
      </x:c>
      <x:c r="P124" s="21" t="n">
        <x:f>ROUND((MIN(L124*12,'تنظیمات'!$B$17)*'تنظیمات'!$B$18+MAX(0,MIN(L124*12,'تنظیمات'!$B$19)-'تنظیمات'!$B$17)*'تنظیمات'!$B$20)/12,2)</x:f>
        <x:v>0</x:v>
      </x:c>
      <x:c r="Q124" s="21" t="n">
        <x:f>ROUND(MIN(L124*12,'تنظیمات'!$B$21)*'تنظیمات'!$B$22/12,2)</x:f>
        <x:v>0</x:v>
      </x:c>
      <x:c r="R124" s="21" t="n">
        <x:f>ROUND(MIN('تنظیمات'!$B$16,MAX(0,L124*12-'تنظیمات'!$B$14)*'تنظیمات'!$B$15)/12,2)</x:f>
        <x:v>0</x:v>
      </x:c>
      <x:c r="S124" s="21" t="n">
        <x:f>SUM(M124:R124)</x:f>
        <x:v>0</x:v>
      </x:c>
      <x:c r="T124" s="21" t="n">
        <x:f>L124-S124</x:f>
        <x:v>0</x:v>
      </x:c>
      <x:c r="U124" s="22" t="n">
        <x:f>'تنظیمات'!$B$5</x:f>
        <x:v>46266</x:v>
      </x:c>
      <x:c r="V124" s="22" t="n">
        <x:f>'تنظیمات'!$B$6</x:f>
        <x:v>46295</x:v>
      </x:c>
      <x:c r="W124" s="17" t="str">
        <x:f>IF(AND(A124&lt;&gt;"",T124&gt;=0),"OK","بررسی شود")</x:f>
        <x:v>بررسی شود</x:v>
      </x:c>
    </x:row>
    <x:row r="125">
      <x:c r="A125" s="13"/>
      <x:c r="B125" s="17" t="str">
        <x:f>IFERROR(VLOOKUP(A125,'کارمندان'!$A$5:$H$205,2,FALSE),"")</x:f>
      </x:c>
      <x:c r="C125" s="21" t="str">
        <x:f>IFERROR(VLOOKUP(A125,'کارمندان'!$A$5:$H$205,5,FALSE),0)</x:f>
      </x:c>
      <x:c r="D125" s="20" t="n">
        <x:f>SUMIFS('حضور و غیاب'!$J$5:$J$205,'حضور و غیاب'!$B$5:$B$205,$A125,'حضور و غیاب'!$A$5:$A$205,"&gt;="&amp;'تنظیمات'!$B$5,'حضور و غیاب'!$A$5:$A$205,"&lt;="&amp;'تنظیمات'!$B$6)</x:f>
        <x:v>0</x:v>
      </x:c>
      <x:c r="E125" s="20" t="n">
        <x:f>SUMIFS('حضور و غیاب'!$K$5:$K$205,'حضور و غیاب'!$B$5:$B$205,$A125,'حضور و غیاب'!$A$5:$A$205,"&gt;="&amp;'تنظیمات'!$B$5,'حضور و غیاب'!$A$5:$A$205,"&lt;="&amp;'تنظیمات'!$B$6)</x:f>
        <x:v>0</x:v>
      </x:c>
      <x:c r="F125" s="20" t="n">
        <x:f>SUMIFS('حضور و غیاب'!$G$5:$G$205,'حضور و غیاب'!$B$5:$B$205,$A125,'حضور و غیاب'!$F$5:$F$205,"Paid",'حضور و غیاب'!$A$5:$A$205,"&gt;="&amp;'تنظیمات'!$B$5,'حضور و غیاب'!$A$5:$A$205,"&lt;="&amp;'تنظیمات'!$B$6)</x:f>
        <x:v>0</x:v>
      </x:c>
      <x:c r="G125" s="20" t="n">
        <x:f>SUMIFS('حضور و غیاب'!$L$5:$L$205,'حضور و غیاب'!$B$5:$B$205,$A125,'حضور و غیاب'!$A$5:$A$205,"&gt;="&amp;'تنظیمات'!$B$5,'حضور و غیاب'!$A$5:$A$205,"&lt;="&amp;'تنظیمات'!$B$6)</x:f>
        <x:v>0</x:v>
      </x:c>
      <x:c r="H125" s="21" t="n">
        <x:f>ROUND(C125*D125,2)</x:f>
        <x:v>0</x:v>
      </x:c>
      <x:c r="I125" s="21" t="n">
        <x:f>ROUND(C125*E125*'تنظیمات'!$B$7,2)</x:f>
        <x:v>0</x:v>
      </x:c>
      <x:c r="J125" s="21" t="n">
        <x:f>ROUND(C125*F125,2)</x:f>
        <x:v>0</x:v>
      </x:c>
      <x:c r="K125" s="21" t="n">
        <x:f>ROUND((H125+I125+J125)*'تنظیمات'!$B$8,2)</x:f>
        <x:v>0</x:v>
      </x:c>
      <x:c r="L125" s="21" t="n">
        <x:f>SUM(H125:K125)</x:f>
        <x:v>0</x:v>
      </x:c>
      <x:c r="M125" s="21" t="n">
        <x:f>ROUND(MAX(0,L125-'تنظیمات'!$B$9)*'تنظیمات'!$B$10,2)</x:f>
        <x:v>0</x:v>
      </x:c>
      <x:c r="N125" s="21" t="n">
        <x:f>ROUND(MAX(0,L125*12-'تنظیمات'!$B$11)/12*'تنظیمات'!$B$12,2)</x:f>
        <x:v>0</x:v>
      </x:c>
      <x:c r="O125" s="21" t="n">
        <x:f>ROUND(L125*'تنظیمات'!$B$13,2)</x:f>
        <x:v>0</x:v>
      </x:c>
      <x:c r="P125" s="21" t="n">
        <x:f>ROUND((MIN(L125*12,'تنظیمات'!$B$17)*'تنظیمات'!$B$18+MAX(0,MIN(L125*12,'تنظیمات'!$B$19)-'تنظیمات'!$B$17)*'تنظیمات'!$B$20)/12,2)</x:f>
        <x:v>0</x:v>
      </x:c>
      <x:c r="Q125" s="21" t="n">
        <x:f>ROUND(MIN(L125*12,'تنظیمات'!$B$21)*'تنظیمات'!$B$22/12,2)</x:f>
        <x:v>0</x:v>
      </x:c>
      <x:c r="R125" s="21" t="n">
        <x:f>ROUND(MIN('تنظیمات'!$B$16,MAX(0,L125*12-'تنظیمات'!$B$14)*'تنظیمات'!$B$15)/12,2)</x:f>
        <x:v>0</x:v>
      </x:c>
      <x:c r="S125" s="21" t="n">
        <x:f>SUM(M125:R125)</x:f>
        <x:v>0</x:v>
      </x:c>
      <x:c r="T125" s="21" t="n">
        <x:f>L125-S125</x:f>
        <x:v>0</x:v>
      </x:c>
      <x:c r="U125" s="22" t="n">
        <x:f>'تنظیمات'!$B$5</x:f>
        <x:v>46266</x:v>
      </x:c>
      <x:c r="V125" s="22" t="n">
        <x:f>'تنظیمات'!$B$6</x:f>
        <x:v>46295</x:v>
      </x:c>
      <x:c r="W125" s="17" t="str">
        <x:f>IF(AND(A125&lt;&gt;"",T125&gt;=0),"OK","بررسی شود")</x:f>
        <x:v>بررسی شود</x:v>
      </x:c>
    </x:row>
    <x:row r="126">
      <x:c r="A126" s="13"/>
      <x:c r="B126" s="17" t="str">
        <x:f>IFERROR(VLOOKUP(A126,'کارمندان'!$A$5:$H$205,2,FALSE),"")</x:f>
      </x:c>
      <x:c r="C126" s="21" t="str">
        <x:f>IFERROR(VLOOKUP(A126,'کارمندان'!$A$5:$H$205,5,FALSE),0)</x:f>
      </x:c>
      <x:c r="D126" s="20" t="n">
        <x:f>SUMIFS('حضور و غیاب'!$J$5:$J$205,'حضور و غیاب'!$B$5:$B$205,$A126,'حضور و غیاب'!$A$5:$A$205,"&gt;="&amp;'تنظیمات'!$B$5,'حضور و غیاب'!$A$5:$A$205,"&lt;="&amp;'تنظیمات'!$B$6)</x:f>
        <x:v>0</x:v>
      </x:c>
      <x:c r="E126" s="20" t="n">
        <x:f>SUMIFS('حضور و غیاب'!$K$5:$K$205,'حضور و غیاب'!$B$5:$B$205,$A126,'حضور و غیاب'!$A$5:$A$205,"&gt;="&amp;'تنظیمات'!$B$5,'حضور و غیاب'!$A$5:$A$205,"&lt;="&amp;'تنظیمات'!$B$6)</x:f>
        <x:v>0</x:v>
      </x:c>
      <x:c r="F126" s="20" t="n">
        <x:f>SUMIFS('حضور و غیاب'!$G$5:$G$205,'حضور و غیاب'!$B$5:$B$205,$A126,'حضور و غیاب'!$F$5:$F$205,"Paid",'حضور و غیاب'!$A$5:$A$205,"&gt;="&amp;'تنظیمات'!$B$5,'حضور و غیاب'!$A$5:$A$205,"&lt;="&amp;'تنظیمات'!$B$6)</x:f>
        <x:v>0</x:v>
      </x:c>
      <x:c r="G126" s="20" t="n">
        <x:f>SUMIFS('حضور و غیاب'!$L$5:$L$205,'حضور و غیاب'!$B$5:$B$205,$A126,'حضور و غیاب'!$A$5:$A$205,"&gt;="&amp;'تنظیمات'!$B$5,'حضور و غیاب'!$A$5:$A$205,"&lt;="&amp;'تنظیمات'!$B$6)</x:f>
        <x:v>0</x:v>
      </x:c>
      <x:c r="H126" s="21" t="n">
        <x:f>ROUND(C126*D126,2)</x:f>
        <x:v>0</x:v>
      </x:c>
      <x:c r="I126" s="21" t="n">
        <x:f>ROUND(C126*E126*'تنظیمات'!$B$7,2)</x:f>
        <x:v>0</x:v>
      </x:c>
      <x:c r="J126" s="21" t="n">
        <x:f>ROUND(C126*F126,2)</x:f>
        <x:v>0</x:v>
      </x:c>
      <x:c r="K126" s="21" t="n">
        <x:f>ROUND((H126+I126+J126)*'تنظیمات'!$B$8,2)</x:f>
        <x:v>0</x:v>
      </x:c>
      <x:c r="L126" s="21" t="n">
        <x:f>SUM(H126:K126)</x:f>
        <x:v>0</x:v>
      </x:c>
      <x:c r="M126" s="21" t="n">
        <x:f>ROUND(MAX(0,L126-'تنظیمات'!$B$9)*'تنظیمات'!$B$10,2)</x:f>
        <x:v>0</x:v>
      </x:c>
      <x:c r="N126" s="21" t="n">
        <x:f>ROUND(MAX(0,L126*12-'تنظیمات'!$B$11)/12*'تنظیمات'!$B$12,2)</x:f>
        <x:v>0</x:v>
      </x:c>
      <x:c r="O126" s="21" t="n">
        <x:f>ROUND(L126*'تنظیمات'!$B$13,2)</x:f>
        <x:v>0</x:v>
      </x:c>
      <x:c r="P126" s="21" t="n">
        <x:f>ROUND((MIN(L126*12,'تنظیمات'!$B$17)*'تنظیمات'!$B$18+MAX(0,MIN(L126*12,'تنظیمات'!$B$19)-'تنظیمات'!$B$17)*'تنظیمات'!$B$20)/12,2)</x:f>
        <x:v>0</x:v>
      </x:c>
      <x:c r="Q126" s="21" t="n">
        <x:f>ROUND(MIN(L126*12,'تنظیمات'!$B$21)*'تنظیمات'!$B$22/12,2)</x:f>
        <x:v>0</x:v>
      </x:c>
      <x:c r="R126" s="21" t="n">
        <x:f>ROUND(MIN('تنظیمات'!$B$16,MAX(0,L126*12-'تنظیمات'!$B$14)*'تنظیمات'!$B$15)/12,2)</x:f>
        <x:v>0</x:v>
      </x:c>
      <x:c r="S126" s="21" t="n">
        <x:f>SUM(M126:R126)</x:f>
        <x:v>0</x:v>
      </x:c>
      <x:c r="T126" s="21" t="n">
        <x:f>L126-S126</x:f>
        <x:v>0</x:v>
      </x:c>
      <x:c r="U126" s="22" t="n">
        <x:f>'تنظیمات'!$B$5</x:f>
        <x:v>46266</x:v>
      </x:c>
      <x:c r="V126" s="22" t="n">
        <x:f>'تنظیمات'!$B$6</x:f>
        <x:v>46295</x:v>
      </x:c>
      <x:c r="W126" s="17" t="str">
        <x:f>IF(AND(A126&lt;&gt;"",T126&gt;=0),"OK","بررسی شود")</x:f>
        <x:v>بررسی شود</x:v>
      </x:c>
    </x:row>
    <x:row r="127">
      <x:c r="A127" s="13"/>
      <x:c r="B127" s="17" t="str">
        <x:f>IFERROR(VLOOKUP(A127,'کارمندان'!$A$5:$H$205,2,FALSE),"")</x:f>
      </x:c>
      <x:c r="C127" s="21" t="str">
        <x:f>IFERROR(VLOOKUP(A127,'کارمندان'!$A$5:$H$205,5,FALSE),0)</x:f>
      </x:c>
      <x:c r="D127" s="20" t="n">
        <x:f>SUMIFS('حضور و غیاب'!$J$5:$J$205,'حضور و غیاب'!$B$5:$B$205,$A127,'حضور و غیاب'!$A$5:$A$205,"&gt;="&amp;'تنظیمات'!$B$5,'حضور و غیاب'!$A$5:$A$205,"&lt;="&amp;'تنظیمات'!$B$6)</x:f>
        <x:v>0</x:v>
      </x:c>
      <x:c r="E127" s="20" t="n">
        <x:f>SUMIFS('حضور و غیاب'!$K$5:$K$205,'حضور و غیاب'!$B$5:$B$205,$A127,'حضور و غیاب'!$A$5:$A$205,"&gt;="&amp;'تنظیمات'!$B$5,'حضور و غیاب'!$A$5:$A$205,"&lt;="&amp;'تنظیمات'!$B$6)</x:f>
        <x:v>0</x:v>
      </x:c>
      <x:c r="F127" s="20" t="n">
        <x:f>SUMIFS('حضور و غیاب'!$G$5:$G$205,'حضور و غیاب'!$B$5:$B$205,$A127,'حضور و غیاب'!$F$5:$F$205,"Paid",'حضور و غیاب'!$A$5:$A$205,"&gt;="&amp;'تنظیمات'!$B$5,'حضور و غیاب'!$A$5:$A$205,"&lt;="&amp;'تنظیمات'!$B$6)</x:f>
        <x:v>0</x:v>
      </x:c>
      <x:c r="G127" s="20" t="n">
        <x:f>SUMIFS('حضور و غیاب'!$L$5:$L$205,'حضور و غیاب'!$B$5:$B$205,$A127,'حضور و غیاب'!$A$5:$A$205,"&gt;="&amp;'تنظیمات'!$B$5,'حضور و غیاب'!$A$5:$A$205,"&lt;="&amp;'تنظیمات'!$B$6)</x:f>
        <x:v>0</x:v>
      </x:c>
      <x:c r="H127" s="21" t="n">
        <x:f>ROUND(C127*D127,2)</x:f>
        <x:v>0</x:v>
      </x:c>
      <x:c r="I127" s="21" t="n">
        <x:f>ROUND(C127*E127*'تنظیمات'!$B$7,2)</x:f>
        <x:v>0</x:v>
      </x:c>
      <x:c r="J127" s="21" t="n">
        <x:f>ROUND(C127*F127,2)</x:f>
        <x:v>0</x:v>
      </x:c>
      <x:c r="K127" s="21" t="n">
        <x:f>ROUND((H127+I127+J127)*'تنظیمات'!$B$8,2)</x:f>
        <x:v>0</x:v>
      </x:c>
      <x:c r="L127" s="21" t="n">
        <x:f>SUM(H127:K127)</x:f>
        <x:v>0</x:v>
      </x:c>
      <x:c r="M127" s="21" t="n">
        <x:f>ROUND(MAX(0,L127-'تنظیمات'!$B$9)*'تنظیمات'!$B$10,2)</x:f>
        <x:v>0</x:v>
      </x:c>
      <x:c r="N127" s="21" t="n">
        <x:f>ROUND(MAX(0,L127*12-'تنظیمات'!$B$11)/12*'تنظیمات'!$B$12,2)</x:f>
        <x:v>0</x:v>
      </x:c>
      <x:c r="O127" s="21" t="n">
        <x:f>ROUND(L127*'تنظیمات'!$B$13,2)</x:f>
        <x:v>0</x:v>
      </x:c>
      <x:c r="P127" s="21" t="n">
        <x:f>ROUND((MIN(L127*12,'تنظیمات'!$B$17)*'تنظیمات'!$B$18+MAX(0,MIN(L127*12,'تنظیمات'!$B$19)-'تنظیمات'!$B$17)*'تنظیمات'!$B$20)/12,2)</x:f>
        <x:v>0</x:v>
      </x:c>
      <x:c r="Q127" s="21" t="n">
        <x:f>ROUND(MIN(L127*12,'تنظیمات'!$B$21)*'تنظیمات'!$B$22/12,2)</x:f>
        <x:v>0</x:v>
      </x:c>
      <x:c r="R127" s="21" t="n">
        <x:f>ROUND(MIN('تنظیمات'!$B$16,MAX(0,L127*12-'تنظیمات'!$B$14)*'تنظیمات'!$B$15)/12,2)</x:f>
        <x:v>0</x:v>
      </x:c>
      <x:c r="S127" s="21" t="n">
        <x:f>SUM(M127:R127)</x:f>
        <x:v>0</x:v>
      </x:c>
      <x:c r="T127" s="21" t="n">
        <x:f>L127-S127</x:f>
        <x:v>0</x:v>
      </x:c>
      <x:c r="U127" s="22" t="n">
        <x:f>'تنظیمات'!$B$5</x:f>
        <x:v>46266</x:v>
      </x:c>
      <x:c r="V127" s="22" t="n">
        <x:f>'تنظیمات'!$B$6</x:f>
        <x:v>46295</x:v>
      </x:c>
      <x:c r="W127" s="17" t="str">
        <x:f>IF(AND(A127&lt;&gt;"",T127&gt;=0),"OK","بررسی شود")</x:f>
        <x:v>بررسی شود</x:v>
      </x:c>
    </x:row>
    <x:row r="128">
      <x:c r="A128" s="13"/>
      <x:c r="B128" s="17" t="str">
        <x:f>IFERROR(VLOOKUP(A128,'کارمندان'!$A$5:$H$205,2,FALSE),"")</x:f>
      </x:c>
      <x:c r="C128" s="21" t="str">
        <x:f>IFERROR(VLOOKUP(A128,'کارمندان'!$A$5:$H$205,5,FALSE),0)</x:f>
      </x:c>
      <x:c r="D128" s="20" t="n">
        <x:f>SUMIFS('حضور و غیاب'!$J$5:$J$205,'حضور و غیاب'!$B$5:$B$205,$A128,'حضور و غیاب'!$A$5:$A$205,"&gt;="&amp;'تنظیمات'!$B$5,'حضور و غیاب'!$A$5:$A$205,"&lt;="&amp;'تنظیمات'!$B$6)</x:f>
        <x:v>0</x:v>
      </x:c>
      <x:c r="E128" s="20" t="n">
        <x:f>SUMIFS('حضور و غیاب'!$K$5:$K$205,'حضور و غیاب'!$B$5:$B$205,$A128,'حضور و غیاب'!$A$5:$A$205,"&gt;="&amp;'تنظیمات'!$B$5,'حضور و غیاب'!$A$5:$A$205,"&lt;="&amp;'تنظیمات'!$B$6)</x:f>
        <x:v>0</x:v>
      </x:c>
      <x:c r="F128" s="20" t="n">
        <x:f>SUMIFS('حضور و غیاب'!$G$5:$G$205,'حضور و غیاب'!$B$5:$B$205,$A128,'حضور و غیاب'!$F$5:$F$205,"Paid",'حضور و غیاب'!$A$5:$A$205,"&gt;="&amp;'تنظیمات'!$B$5,'حضور و غیاب'!$A$5:$A$205,"&lt;="&amp;'تنظیمات'!$B$6)</x:f>
        <x:v>0</x:v>
      </x:c>
      <x:c r="G128" s="20" t="n">
        <x:f>SUMIFS('حضور و غیاب'!$L$5:$L$205,'حضور و غیاب'!$B$5:$B$205,$A128,'حضور و غیاب'!$A$5:$A$205,"&gt;="&amp;'تنظیمات'!$B$5,'حضور و غیاب'!$A$5:$A$205,"&lt;="&amp;'تنظیمات'!$B$6)</x:f>
        <x:v>0</x:v>
      </x:c>
      <x:c r="H128" s="21" t="n">
        <x:f>ROUND(C128*D128,2)</x:f>
        <x:v>0</x:v>
      </x:c>
      <x:c r="I128" s="21" t="n">
        <x:f>ROUND(C128*E128*'تنظیمات'!$B$7,2)</x:f>
        <x:v>0</x:v>
      </x:c>
      <x:c r="J128" s="21" t="n">
        <x:f>ROUND(C128*F128,2)</x:f>
        <x:v>0</x:v>
      </x:c>
      <x:c r="K128" s="21" t="n">
        <x:f>ROUND((H128+I128+J128)*'تنظیمات'!$B$8,2)</x:f>
        <x:v>0</x:v>
      </x:c>
      <x:c r="L128" s="21" t="n">
        <x:f>SUM(H128:K128)</x:f>
        <x:v>0</x:v>
      </x:c>
      <x:c r="M128" s="21" t="n">
        <x:f>ROUND(MAX(0,L128-'تنظیمات'!$B$9)*'تنظیمات'!$B$10,2)</x:f>
        <x:v>0</x:v>
      </x:c>
      <x:c r="N128" s="21" t="n">
        <x:f>ROUND(MAX(0,L128*12-'تنظیمات'!$B$11)/12*'تنظیمات'!$B$12,2)</x:f>
        <x:v>0</x:v>
      </x:c>
      <x:c r="O128" s="21" t="n">
        <x:f>ROUND(L128*'تنظیمات'!$B$13,2)</x:f>
        <x:v>0</x:v>
      </x:c>
      <x:c r="P128" s="21" t="n">
        <x:f>ROUND((MIN(L128*12,'تنظیمات'!$B$17)*'تنظیمات'!$B$18+MAX(0,MIN(L128*12,'تنظیمات'!$B$19)-'تنظیمات'!$B$17)*'تنظیمات'!$B$20)/12,2)</x:f>
        <x:v>0</x:v>
      </x:c>
      <x:c r="Q128" s="21" t="n">
        <x:f>ROUND(MIN(L128*12,'تنظیمات'!$B$21)*'تنظیمات'!$B$22/12,2)</x:f>
        <x:v>0</x:v>
      </x:c>
      <x:c r="R128" s="21" t="n">
        <x:f>ROUND(MIN('تنظیمات'!$B$16,MAX(0,L128*12-'تنظیمات'!$B$14)*'تنظیمات'!$B$15)/12,2)</x:f>
        <x:v>0</x:v>
      </x:c>
      <x:c r="S128" s="21" t="n">
        <x:f>SUM(M128:R128)</x:f>
        <x:v>0</x:v>
      </x:c>
      <x:c r="T128" s="21" t="n">
        <x:f>L128-S128</x:f>
        <x:v>0</x:v>
      </x:c>
      <x:c r="U128" s="22" t="n">
        <x:f>'تنظیمات'!$B$5</x:f>
        <x:v>46266</x:v>
      </x:c>
      <x:c r="V128" s="22" t="n">
        <x:f>'تنظیمات'!$B$6</x:f>
        <x:v>46295</x:v>
      </x:c>
      <x:c r="W128" s="17" t="str">
        <x:f>IF(AND(A128&lt;&gt;"",T128&gt;=0),"OK","بررسی شود")</x:f>
        <x:v>بررسی شود</x:v>
      </x:c>
    </x:row>
    <x:row r="129">
      <x:c r="A129" s="13"/>
      <x:c r="B129" s="17" t="str">
        <x:f>IFERROR(VLOOKUP(A129,'کارمندان'!$A$5:$H$205,2,FALSE),"")</x:f>
      </x:c>
      <x:c r="C129" s="21" t="str">
        <x:f>IFERROR(VLOOKUP(A129,'کارمندان'!$A$5:$H$205,5,FALSE),0)</x:f>
      </x:c>
      <x:c r="D129" s="20" t="n">
        <x:f>SUMIFS('حضور و غیاب'!$J$5:$J$205,'حضور و غیاب'!$B$5:$B$205,$A129,'حضور و غیاب'!$A$5:$A$205,"&gt;="&amp;'تنظیمات'!$B$5,'حضور و غیاب'!$A$5:$A$205,"&lt;="&amp;'تنظیمات'!$B$6)</x:f>
        <x:v>0</x:v>
      </x:c>
      <x:c r="E129" s="20" t="n">
        <x:f>SUMIFS('حضور و غیاب'!$K$5:$K$205,'حضور و غیاب'!$B$5:$B$205,$A129,'حضور و غیاب'!$A$5:$A$205,"&gt;="&amp;'تنظیمات'!$B$5,'حضور و غیاب'!$A$5:$A$205,"&lt;="&amp;'تنظیمات'!$B$6)</x:f>
        <x:v>0</x:v>
      </x:c>
      <x:c r="F129" s="20" t="n">
        <x:f>SUMIFS('حضور و غیاب'!$G$5:$G$205,'حضور و غیاب'!$B$5:$B$205,$A129,'حضور و غیاب'!$F$5:$F$205,"Paid",'حضور و غیاب'!$A$5:$A$205,"&gt;="&amp;'تنظیمات'!$B$5,'حضور و غیاب'!$A$5:$A$205,"&lt;="&amp;'تنظیمات'!$B$6)</x:f>
        <x:v>0</x:v>
      </x:c>
      <x:c r="G129" s="20" t="n">
        <x:f>SUMIFS('حضور و غیاب'!$L$5:$L$205,'حضور و غیاب'!$B$5:$B$205,$A129,'حضور و غیاب'!$A$5:$A$205,"&gt;="&amp;'تنظیمات'!$B$5,'حضور و غیاب'!$A$5:$A$205,"&lt;="&amp;'تنظیمات'!$B$6)</x:f>
        <x:v>0</x:v>
      </x:c>
      <x:c r="H129" s="21" t="n">
        <x:f>ROUND(C129*D129,2)</x:f>
        <x:v>0</x:v>
      </x:c>
      <x:c r="I129" s="21" t="n">
        <x:f>ROUND(C129*E129*'تنظیمات'!$B$7,2)</x:f>
        <x:v>0</x:v>
      </x:c>
      <x:c r="J129" s="21" t="n">
        <x:f>ROUND(C129*F129,2)</x:f>
        <x:v>0</x:v>
      </x:c>
      <x:c r="K129" s="21" t="n">
        <x:f>ROUND((H129+I129+J129)*'تنظیمات'!$B$8,2)</x:f>
        <x:v>0</x:v>
      </x:c>
      <x:c r="L129" s="21" t="n">
        <x:f>SUM(H129:K129)</x:f>
        <x:v>0</x:v>
      </x:c>
      <x:c r="M129" s="21" t="n">
        <x:f>ROUND(MAX(0,L129-'تنظیمات'!$B$9)*'تنظیمات'!$B$10,2)</x:f>
        <x:v>0</x:v>
      </x:c>
      <x:c r="N129" s="21" t="n">
        <x:f>ROUND(MAX(0,L129*12-'تنظیمات'!$B$11)/12*'تنظیمات'!$B$12,2)</x:f>
        <x:v>0</x:v>
      </x:c>
      <x:c r="O129" s="21" t="n">
        <x:f>ROUND(L129*'تنظیمات'!$B$13,2)</x:f>
        <x:v>0</x:v>
      </x:c>
      <x:c r="P129" s="21" t="n">
        <x:f>ROUND((MIN(L129*12,'تنظیمات'!$B$17)*'تنظیمات'!$B$18+MAX(0,MIN(L129*12,'تنظیمات'!$B$19)-'تنظیمات'!$B$17)*'تنظیمات'!$B$20)/12,2)</x:f>
        <x:v>0</x:v>
      </x:c>
      <x:c r="Q129" s="21" t="n">
        <x:f>ROUND(MIN(L129*12,'تنظیمات'!$B$21)*'تنظیمات'!$B$22/12,2)</x:f>
        <x:v>0</x:v>
      </x:c>
      <x:c r="R129" s="21" t="n">
        <x:f>ROUND(MIN('تنظیمات'!$B$16,MAX(0,L129*12-'تنظیمات'!$B$14)*'تنظیمات'!$B$15)/12,2)</x:f>
        <x:v>0</x:v>
      </x:c>
      <x:c r="S129" s="21" t="n">
        <x:f>SUM(M129:R129)</x:f>
        <x:v>0</x:v>
      </x:c>
      <x:c r="T129" s="21" t="n">
        <x:f>L129-S129</x:f>
        <x:v>0</x:v>
      </x:c>
      <x:c r="U129" s="22" t="n">
        <x:f>'تنظیمات'!$B$5</x:f>
        <x:v>46266</x:v>
      </x:c>
      <x:c r="V129" s="22" t="n">
        <x:f>'تنظیمات'!$B$6</x:f>
        <x:v>46295</x:v>
      </x:c>
      <x:c r="W129" s="17" t="str">
        <x:f>IF(AND(A129&lt;&gt;"",T129&gt;=0),"OK","بررسی شود")</x:f>
        <x:v>بررسی شود</x:v>
      </x:c>
    </x:row>
    <x:row r="130">
      <x:c r="A130" s="13"/>
      <x:c r="B130" s="17" t="str">
        <x:f>IFERROR(VLOOKUP(A130,'کارمندان'!$A$5:$H$205,2,FALSE),"")</x:f>
      </x:c>
      <x:c r="C130" s="21" t="str">
        <x:f>IFERROR(VLOOKUP(A130,'کارمندان'!$A$5:$H$205,5,FALSE),0)</x:f>
      </x:c>
      <x:c r="D130" s="20" t="n">
        <x:f>SUMIFS('حضور و غیاب'!$J$5:$J$205,'حضور و غیاب'!$B$5:$B$205,$A130,'حضور و غیاب'!$A$5:$A$205,"&gt;="&amp;'تنظیمات'!$B$5,'حضور و غیاب'!$A$5:$A$205,"&lt;="&amp;'تنظیمات'!$B$6)</x:f>
        <x:v>0</x:v>
      </x:c>
      <x:c r="E130" s="20" t="n">
        <x:f>SUMIFS('حضور و غیاب'!$K$5:$K$205,'حضور و غیاب'!$B$5:$B$205,$A130,'حضور و غیاب'!$A$5:$A$205,"&gt;="&amp;'تنظیمات'!$B$5,'حضور و غیاب'!$A$5:$A$205,"&lt;="&amp;'تنظیمات'!$B$6)</x:f>
        <x:v>0</x:v>
      </x:c>
      <x:c r="F130" s="20" t="n">
        <x:f>SUMIFS('حضور و غیاب'!$G$5:$G$205,'حضور و غیاب'!$B$5:$B$205,$A130,'حضور و غیاب'!$F$5:$F$205,"Paid",'حضور و غیاب'!$A$5:$A$205,"&gt;="&amp;'تنظیمات'!$B$5,'حضور و غیاب'!$A$5:$A$205,"&lt;="&amp;'تنظیمات'!$B$6)</x:f>
        <x:v>0</x:v>
      </x:c>
      <x:c r="G130" s="20" t="n">
        <x:f>SUMIFS('حضور و غیاب'!$L$5:$L$205,'حضور و غیاب'!$B$5:$B$205,$A130,'حضور و غیاب'!$A$5:$A$205,"&gt;="&amp;'تنظیمات'!$B$5,'حضور و غیاب'!$A$5:$A$205,"&lt;="&amp;'تنظیمات'!$B$6)</x:f>
        <x:v>0</x:v>
      </x:c>
      <x:c r="H130" s="21" t="n">
        <x:f>ROUND(C130*D130,2)</x:f>
        <x:v>0</x:v>
      </x:c>
      <x:c r="I130" s="21" t="n">
        <x:f>ROUND(C130*E130*'تنظیمات'!$B$7,2)</x:f>
        <x:v>0</x:v>
      </x:c>
      <x:c r="J130" s="21" t="n">
        <x:f>ROUND(C130*F130,2)</x:f>
        <x:v>0</x:v>
      </x:c>
      <x:c r="K130" s="21" t="n">
        <x:f>ROUND((H130+I130+J130)*'تنظیمات'!$B$8,2)</x:f>
        <x:v>0</x:v>
      </x:c>
      <x:c r="L130" s="21" t="n">
        <x:f>SUM(H130:K130)</x:f>
        <x:v>0</x:v>
      </x:c>
      <x:c r="M130" s="21" t="n">
        <x:f>ROUND(MAX(0,L130-'تنظیمات'!$B$9)*'تنظیمات'!$B$10,2)</x:f>
        <x:v>0</x:v>
      </x:c>
      <x:c r="N130" s="21" t="n">
        <x:f>ROUND(MAX(0,L130*12-'تنظیمات'!$B$11)/12*'تنظیمات'!$B$12,2)</x:f>
        <x:v>0</x:v>
      </x:c>
      <x:c r="O130" s="21" t="n">
        <x:f>ROUND(L130*'تنظیمات'!$B$13,2)</x:f>
        <x:v>0</x:v>
      </x:c>
      <x:c r="P130" s="21" t="n">
        <x:f>ROUND((MIN(L130*12,'تنظیمات'!$B$17)*'تنظیمات'!$B$18+MAX(0,MIN(L130*12,'تنظیمات'!$B$19)-'تنظیمات'!$B$17)*'تنظیمات'!$B$20)/12,2)</x:f>
        <x:v>0</x:v>
      </x:c>
      <x:c r="Q130" s="21" t="n">
        <x:f>ROUND(MIN(L130*12,'تنظیمات'!$B$21)*'تنظیمات'!$B$22/12,2)</x:f>
        <x:v>0</x:v>
      </x:c>
      <x:c r="R130" s="21" t="n">
        <x:f>ROUND(MIN('تنظیمات'!$B$16,MAX(0,L130*12-'تنظیمات'!$B$14)*'تنظیمات'!$B$15)/12,2)</x:f>
        <x:v>0</x:v>
      </x:c>
      <x:c r="S130" s="21" t="n">
        <x:f>SUM(M130:R130)</x:f>
        <x:v>0</x:v>
      </x:c>
      <x:c r="T130" s="21" t="n">
        <x:f>L130-S130</x:f>
        <x:v>0</x:v>
      </x:c>
      <x:c r="U130" s="22" t="n">
        <x:f>'تنظیمات'!$B$5</x:f>
        <x:v>46266</x:v>
      </x:c>
      <x:c r="V130" s="22" t="n">
        <x:f>'تنظیمات'!$B$6</x:f>
        <x:v>46295</x:v>
      </x:c>
      <x:c r="W130" s="17" t="str">
        <x:f>IF(AND(A130&lt;&gt;"",T130&gt;=0),"OK","بررسی شود")</x:f>
        <x:v>بررسی شود</x:v>
      </x:c>
    </x:row>
    <x:row r="131">
      <x:c r="A131" s="13"/>
      <x:c r="B131" s="17" t="str">
        <x:f>IFERROR(VLOOKUP(A131,'کارمندان'!$A$5:$H$205,2,FALSE),"")</x:f>
      </x:c>
      <x:c r="C131" s="21" t="str">
        <x:f>IFERROR(VLOOKUP(A131,'کارمندان'!$A$5:$H$205,5,FALSE),0)</x:f>
      </x:c>
      <x:c r="D131" s="20" t="n">
        <x:f>SUMIFS('حضور و غیاب'!$J$5:$J$205,'حضور و غیاب'!$B$5:$B$205,$A131,'حضور و غیاب'!$A$5:$A$205,"&gt;="&amp;'تنظیمات'!$B$5,'حضور و غیاب'!$A$5:$A$205,"&lt;="&amp;'تنظیمات'!$B$6)</x:f>
        <x:v>0</x:v>
      </x:c>
      <x:c r="E131" s="20" t="n">
        <x:f>SUMIFS('حضور و غیاب'!$K$5:$K$205,'حضور و غیاب'!$B$5:$B$205,$A131,'حضور و غیاب'!$A$5:$A$205,"&gt;="&amp;'تنظیمات'!$B$5,'حضور و غیاب'!$A$5:$A$205,"&lt;="&amp;'تنظیمات'!$B$6)</x:f>
        <x:v>0</x:v>
      </x:c>
      <x:c r="F131" s="20" t="n">
        <x:f>SUMIFS('حضور و غیاب'!$G$5:$G$205,'حضور و غیاب'!$B$5:$B$205,$A131,'حضور و غیاب'!$F$5:$F$205,"Paid",'حضور و غیاب'!$A$5:$A$205,"&gt;="&amp;'تنظیمات'!$B$5,'حضور و غیاب'!$A$5:$A$205,"&lt;="&amp;'تنظیمات'!$B$6)</x:f>
        <x:v>0</x:v>
      </x:c>
      <x:c r="G131" s="20" t="n">
        <x:f>SUMIFS('حضور و غیاب'!$L$5:$L$205,'حضور و غیاب'!$B$5:$B$205,$A131,'حضور و غیاب'!$A$5:$A$205,"&gt;="&amp;'تنظیمات'!$B$5,'حضور و غیاب'!$A$5:$A$205,"&lt;="&amp;'تنظیمات'!$B$6)</x:f>
        <x:v>0</x:v>
      </x:c>
      <x:c r="H131" s="21" t="n">
        <x:f>ROUND(C131*D131,2)</x:f>
        <x:v>0</x:v>
      </x:c>
      <x:c r="I131" s="21" t="n">
        <x:f>ROUND(C131*E131*'تنظیمات'!$B$7,2)</x:f>
        <x:v>0</x:v>
      </x:c>
      <x:c r="J131" s="21" t="n">
        <x:f>ROUND(C131*F131,2)</x:f>
        <x:v>0</x:v>
      </x:c>
      <x:c r="K131" s="21" t="n">
        <x:f>ROUND((H131+I131+J131)*'تنظیمات'!$B$8,2)</x:f>
        <x:v>0</x:v>
      </x:c>
      <x:c r="L131" s="21" t="n">
        <x:f>SUM(H131:K131)</x:f>
        <x:v>0</x:v>
      </x:c>
      <x:c r="M131" s="21" t="n">
        <x:f>ROUND(MAX(0,L131-'تنظیمات'!$B$9)*'تنظیمات'!$B$10,2)</x:f>
        <x:v>0</x:v>
      </x:c>
      <x:c r="N131" s="21" t="n">
        <x:f>ROUND(MAX(0,L131*12-'تنظیمات'!$B$11)/12*'تنظیمات'!$B$12,2)</x:f>
        <x:v>0</x:v>
      </x:c>
      <x:c r="O131" s="21" t="n">
        <x:f>ROUND(L131*'تنظیمات'!$B$13,2)</x:f>
        <x:v>0</x:v>
      </x:c>
      <x:c r="P131" s="21" t="n">
        <x:f>ROUND((MIN(L131*12,'تنظیمات'!$B$17)*'تنظیمات'!$B$18+MAX(0,MIN(L131*12,'تنظیمات'!$B$19)-'تنظیمات'!$B$17)*'تنظیمات'!$B$20)/12,2)</x:f>
        <x:v>0</x:v>
      </x:c>
      <x:c r="Q131" s="21" t="n">
        <x:f>ROUND(MIN(L131*12,'تنظیمات'!$B$21)*'تنظیمات'!$B$22/12,2)</x:f>
        <x:v>0</x:v>
      </x:c>
      <x:c r="R131" s="21" t="n">
        <x:f>ROUND(MIN('تنظیمات'!$B$16,MAX(0,L131*12-'تنظیمات'!$B$14)*'تنظیمات'!$B$15)/12,2)</x:f>
        <x:v>0</x:v>
      </x:c>
      <x:c r="S131" s="21" t="n">
        <x:f>SUM(M131:R131)</x:f>
        <x:v>0</x:v>
      </x:c>
      <x:c r="T131" s="21" t="n">
        <x:f>L131-S131</x:f>
        <x:v>0</x:v>
      </x:c>
      <x:c r="U131" s="22" t="n">
        <x:f>'تنظیمات'!$B$5</x:f>
        <x:v>46266</x:v>
      </x:c>
      <x:c r="V131" s="22" t="n">
        <x:f>'تنظیمات'!$B$6</x:f>
        <x:v>46295</x:v>
      </x:c>
      <x:c r="W131" s="17" t="str">
        <x:f>IF(AND(A131&lt;&gt;"",T131&gt;=0),"OK","بررسی شود")</x:f>
        <x:v>بررسی شود</x:v>
      </x:c>
    </x:row>
    <x:row r="132">
      <x:c r="A132" s="13"/>
      <x:c r="B132" s="17" t="str">
        <x:f>IFERROR(VLOOKUP(A132,'کارمندان'!$A$5:$H$205,2,FALSE),"")</x:f>
      </x:c>
      <x:c r="C132" s="21" t="str">
        <x:f>IFERROR(VLOOKUP(A132,'کارمندان'!$A$5:$H$205,5,FALSE),0)</x:f>
      </x:c>
      <x:c r="D132" s="20" t="n">
        <x:f>SUMIFS('حضور و غیاب'!$J$5:$J$205,'حضور و غیاب'!$B$5:$B$205,$A132,'حضور و غیاب'!$A$5:$A$205,"&gt;="&amp;'تنظیمات'!$B$5,'حضور و غیاب'!$A$5:$A$205,"&lt;="&amp;'تنظیمات'!$B$6)</x:f>
        <x:v>0</x:v>
      </x:c>
      <x:c r="E132" s="20" t="n">
        <x:f>SUMIFS('حضور و غیاب'!$K$5:$K$205,'حضور و غیاب'!$B$5:$B$205,$A132,'حضور و غیاب'!$A$5:$A$205,"&gt;="&amp;'تنظیمات'!$B$5,'حضور و غیاب'!$A$5:$A$205,"&lt;="&amp;'تنظیمات'!$B$6)</x:f>
        <x:v>0</x:v>
      </x:c>
      <x:c r="F132" s="20" t="n">
        <x:f>SUMIFS('حضور و غیاب'!$G$5:$G$205,'حضور و غیاب'!$B$5:$B$205,$A132,'حضور و غیاب'!$F$5:$F$205,"Paid",'حضور و غیاب'!$A$5:$A$205,"&gt;="&amp;'تنظیمات'!$B$5,'حضور و غیاب'!$A$5:$A$205,"&lt;="&amp;'تنظیمات'!$B$6)</x:f>
        <x:v>0</x:v>
      </x:c>
      <x:c r="G132" s="20" t="n">
        <x:f>SUMIFS('حضور و غیاب'!$L$5:$L$205,'حضور و غیاب'!$B$5:$B$205,$A132,'حضور و غیاب'!$A$5:$A$205,"&gt;="&amp;'تنظیمات'!$B$5,'حضور و غیاب'!$A$5:$A$205,"&lt;="&amp;'تنظیمات'!$B$6)</x:f>
        <x:v>0</x:v>
      </x:c>
      <x:c r="H132" s="21" t="n">
        <x:f>ROUND(C132*D132,2)</x:f>
        <x:v>0</x:v>
      </x:c>
      <x:c r="I132" s="21" t="n">
        <x:f>ROUND(C132*E132*'تنظیمات'!$B$7,2)</x:f>
        <x:v>0</x:v>
      </x:c>
      <x:c r="J132" s="21" t="n">
        <x:f>ROUND(C132*F132,2)</x:f>
        <x:v>0</x:v>
      </x:c>
      <x:c r="K132" s="21" t="n">
        <x:f>ROUND((H132+I132+J132)*'تنظیمات'!$B$8,2)</x:f>
        <x:v>0</x:v>
      </x:c>
      <x:c r="L132" s="21" t="n">
        <x:f>SUM(H132:K132)</x:f>
        <x:v>0</x:v>
      </x:c>
      <x:c r="M132" s="21" t="n">
        <x:f>ROUND(MAX(0,L132-'تنظیمات'!$B$9)*'تنظیمات'!$B$10,2)</x:f>
        <x:v>0</x:v>
      </x:c>
      <x:c r="N132" s="21" t="n">
        <x:f>ROUND(MAX(0,L132*12-'تنظیمات'!$B$11)/12*'تنظیمات'!$B$12,2)</x:f>
        <x:v>0</x:v>
      </x:c>
      <x:c r="O132" s="21" t="n">
        <x:f>ROUND(L132*'تنظیمات'!$B$13,2)</x:f>
        <x:v>0</x:v>
      </x:c>
      <x:c r="P132" s="21" t="n">
        <x:f>ROUND((MIN(L132*12,'تنظیمات'!$B$17)*'تنظیمات'!$B$18+MAX(0,MIN(L132*12,'تنظیمات'!$B$19)-'تنظیمات'!$B$17)*'تنظیمات'!$B$20)/12,2)</x:f>
        <x:v>0</x:v>
      </x:c>
      <x:c r="Q132" s="21" t="n">
        <x:f>ROUND(MIN(L132*12,'تنظیمات'!$B$21)*'تنظیمات'!$B$22/12,2)</x:f>
        <x:v>0</x:v>
      </x:c>
      <x:c r="R132" s="21" t="n">
        <x:f>ROUND(MIN('تنظیمات'!$B$16,MAX(0,L132*12-'تنظیمات'!$B$14)*'تنظیمات'!$B$15)/12,2)</x:f>
        <x:v>0</x:v>
      </x:c>
      <x:c r="S132" s="21" t="n">
        <x:f>SUM(M132:R132)</x:f>
        <x:v>0</x:v>
      </x:c>
      <x:c r="T132" s="21" t="n">
        <x:f>L132-S132</x:f>
        <x:v>0</x:v>
      </x:c>
      <x:c r="U132" s="22" t="n">
        <x:f>'تنظیمات'!$B$5</x:f>
        <x:v>46266</x:v>
      </x:c>
      <x:c r="V132" s="22" t="n">
        <x:f>'تنظیمات'!$B$6</x:f>
        <x:v>46295</x:v>
      </x:c>
      <x:c r="W132" s="17" t="str">
        <x:f>IF(AND(A132&lt;&gt;"",T132&gt;=0),"OK","بررسی شود")</x:f>
        <x:v>بررسی شود</x:v>
      </x:c>
    </x:row>
    <x:row r="133">
      <x:c r="A133" s="13"/>
      <x:c r="B133" s="17" t="str">
        <x:f>IFERROR(VLOOKUP(A133,'کارمندان'!$A$5:$H$205,2,FALSE),"")</x:f>
      </x:c>
      <x:c r="C133" s="21" t="str">
        <x:f>IFERROR(VLOOKUP(A133,'کارمندان'!$A$5:$H$205,5,FALSE),0)</x:f>
      </x:c>
      <x:c r="D133" s="20" t="n">
        <x:f>SUMIFS('حضور و غیاب'!$J$5:$J$205,'حضور و غیاب'!$B$5:$B$205,$A133,'حضور و غیاب'!$A$5:$A$205,"&gt;="&amp;'تنظیمات'!$B$5,'حضور و غیاب'!$A$5:$A$205,"&lt;="&amp;'تنظیمات'!$B$6)</x:f>
        <x:v>0</x:v>
      </x:c>
      <x:c r="E133" s="20" t="n">
        <x:f>SUMIFS('حضور و غیاب'!$K$5:$K$205,'حضور و غیاب'!$B$5:$B$205,$A133,'حضور و غیاب'!$A$5:$A$205,"&gt;="&amp;'تنظیمات'!$B$5,'حضور و غیاب'!$A$5:$A$205,"&lt;="&amp;'تنظیمات'!$B$6)</x:f>
        <x:v>0</x:v>
      </x:c>
      <x:c r="F133" s="20" t="n">
        <x:f>SUMIFS('حضور و غیاب'!$G$5:$G$205,'حضور و غیاب'!$B$5:$B$205,$A133,'حضور و غیاب'!$F$5:$F$205,"Paid",'حضور و غیاب'!$A$5:$A$205,"&gt;="&amp;'تنظیمات'!$B$5,'حضور و غیاب'!$A$5:$A$205,"&lt;="&amp;'تنظیمات'!$B$6)</x:f>
        <x:v>0</x:v>
      </x:c>
      <x:c r="G133" s="20" t="n">
        <x:f>SUMIFS('حضور و غیاب'!$L$5:$L$205,'حضور و غیاب'!$B$5:$B$205,$A133,'حضور و غیاب'!$A$5:$A$205,"&gt;="&amp;'تنظیمات'!$B$5,'حضور و غیاب'!$A$5:$A$205,"&lt;="&amp;'تنظیمات'!$B$6)</x:f>
        <x:v>0</x:v>
      </x:c>
      <x:c r="H133" s="21" t="n">
        <x:f>ROUND(C133*D133,2)</x:f>
        <x:v>0</x:v>
      </x:c>
      <x:c r="I133" s="21" t="n">
        <x:f>ROUND(C133*E133*'تنظیمات'!$B$7,2)</x:f>
        <x:v>0</x:v>
      </x:c>
      <x:c r="J133" s="21" t="n">
        <x:f>ROUND(C133*F133,2)</x:f>
        <x:v>0</x:v>
      </x:c>
      <x:c r="K133" s="21" t="n">
        <x:f>ROUND((H133+I133+J133)*'تنظیمات'!$B$8,2)</x:f>
        <x:v>0</x:v>
      </x:c>
      <x:c r="L133" s="21" t="n">
        <x:f>SUM(H133:K133)</x:f>
        <x:v>0</x:v>
      </x:c>
      <x:c r="M133" s="21" t="n">
        <x:f>ROUND(MAX(0,L133-'تنظیمات'!$B$9)*'تنظیمات'!$B$10,2)</x:f>
        <x:v>0</x:v>
      </x:c>
      <x:c r="N133" s="21" t="n">
        <x:f>ROUND(MAX(0,L133*12-'تنظیمات'!$B$11)/12*'تنظیمات'!$B$12,2)</x:f>
        <x:v>0</x:v>
      </x:c>
      <x:c r="O133" s="21" t="n">
        <x:f>ROUND(L133*'تنظیمات'!$B$13,2)</x:f>
        <x:v>0</x:v>
      </x:c>
      <x:c r="P133" s="21" t="n">
        <x:f>ROUND((MIN(L133*12,'تنظیمات'!$B$17)*'تنظیمات'!$B$18+MAX(0,MIN(L133*12,'تنظیمات'!$B$19)-'تنظیمات'!$B$17)*'تنظیمات'!$B$20)/12,2)</x:f>
        <x:v>0</x:v>
      </x:c>
      <x:c r="Q133" s="21" t="n">
        <x:f>ROUND(MIN(L133*12,'تنظیمات'!$B$21)*'تنظیمات'!$B$22/12,2)</x:f>
        <x:v>0</x:v>
      </x:c>
      <x:c r="R133" s="21" t="n">
        <x:f>ROUND(MIN('تنظیمات'!$B$16,MAX(0,L133*12-'تنظیمات'!$B$14)*'تنظیمات'!$B$15)/12,2)</x:f>
        <x:v>0</x:v>
      </x:c>
      <x:c r="S133" s="21" t="n">
        <x:f>SUM(M133:R133)</x:f>
        <x:v>0</x:v>
      </x:c>
      <x:c r="T133" s="21" t="n">
        <x:f>L133-S133</x:f>
        <x:v>0</x:v>
      </x:c>
      <x:c r="U133" s="22" t="n">
        <x:f>'تنظیمات'!$B$5</x:f>
        <x:v>46266</x:v>
      </x:c>
      <x:c r="V133" s="22" t="n">
        <x:f>'تنظیمات'!$B$6</x:f>
        <x:v>46295</x:v>
      </x:c>
      <x:c r="W133" s="17" t="str">
        <x:f>IF(AND(A133&lt;&gt;"",T133&gt;=0),"OK","بررسی شود")</x:f>
        <x:v>بررسی شود</x:v>
      </x:c>
    </x:row>
    <x:row r="134">
      <x:c r="A134" s="13"/>
      <x:c r="B134" s="17" t="str">
        <x:f>IFERROR(VLOOKUP(A134,'کارمندان'!$A$5:$H$205,2,FALSE),"")</x:f>
      </x:c>
      <x:c r="C134" s="21" t="str">
        <x:f>IFERROR(VLOOKUP(A134,'کارمندان'!$A$5:$H$205,5,FALSE),0)</x:f>
      </x:c>
      <x:c r="D134" s="20" t="n">
        <x:f>SUMIFS('حضور و غیاب'!$J$5:$J$205,'حضور و غیاب'!$B$5:$B$205,$A134,'حضور و غیاب'!$A$5:$A$205,"&gt;="&amp;'تنظیمات'!$B$5,'حضور و غیاب'!$A$5:$A$205,"&lt;="&amp;'تنظیمات'!$B$6)</x:f>
        <x:v>0</x:v>
      </x:c>
      <x:c r="E134" s="20" t="n">
        <x:f>SUMIFS('حضور و غیاب'!$K$5:$K$205,'حضور و غیاب'!$B$5:$B$205,$A134,'حضور و غیاب'!$A$5:$A$205,"&gt;="&amp;'تنظیمات'!$B$5,'حضور و غیاب'!$A$5:$A$205,"&lt;="&amp;'تنظیمات'!$B$6)</x:f>
        <x:v>0</x:v>
      </x:c>
      <x:c r="F134" s="20" t="n">
        <x:f>SUMIFS('حضور و غیاب'!$G$5:$G$205,'حضور و غیاب'!$B$5:$B$205,$A134,'حضور و غیاب'!$F$5:$F$205,"Paid",'حضور و غیاب'!$A$5:$A$205,"&gt;="&amp;'تنظیمات'!$B$5,'حضور و غیاب'!$A$5:$A$205,"&lt;="&amp;'تنظیمات'!$B$6)</x:f>
        <x:v>0</x:v>
      </x:c>
      <x:c r="G134" s="20" t="n">
        <x:f>SUMIFS('حضور و غیاب'!$L$5:$L$205,'حضور و غیاب'!$B$5:$B$205,$A134,'حضور و غیاب'!$A$5:$A$205,"&gt;="&amp;'تنظیمات'!$B$5,'حضور و غیاب'!$A$5:$A$205,"&lt;="&amp;'تنظیمات'!$B$6)</x:f>
        <x:v>0</x:v>
      </x:c>
      <x:c r="H134" s="21" t="n">
        <x:f>ROUND(C134*D134,2)</x:f>
        <x:v>0</x:v>
      </x:c>
      <x:c r="I134" s="21" t="n">
        <x:f>ROUND(C134*E134*'تنظیمات'!$B$7,2)</x:f>
        <x:v>0</x:v>
      </x:c>
      <x:c r="J134" s="21" t="n">
        <x:f>ROUND(C134*F134,2)</x:f>
        <x:v>0</x:v>
      </x:c>
      <x:c r="K134" s="21" t="n">
        <x:f>ROUND((H134+I134+J134)*'تنظیمات'!$B$8,2)</x:f>
        <x:v>0</x:v>
      </x:c>
      <x:c r="L134" s="21" t="n">
        <x:f>SUM(H134:K134)</x:f>
        <x:v>0</x:v>
      </x:c>
      <x:c r="M134" s="21" t="n">
        <x:f>ROUND(MAX(0,L134-'تنظیمات'!$B$9)*'تنظیمات'!$B$10,2)</x:f>
        <x:v>0</x:v>
      </x:c>
      <x:c r="N134" s="21" t="n">
        <x:f>ROUND(MAX(0,L134*12-'تنظیمات'!$B$11)/12*'تنظیمات'!$B$12,2)</x:f>
        <x:v>0</x:v>
      </x:c>
      <x:c r="O134" s="21" t="n">
        <x:f>ROUND(L134*'تنظیمات'!$B$13,2)</x:f>
        <x:v>0</x:v>
      </x:c>
      <x:c r="P134" s="21" t="n">
        <x:f>ROUND((MIN(L134*12,'تنظیمات'!$B$17)*'تنظیمات'!$B$18+MAX(0,MIN(L134*12,'تنظیمات'!$B$19)-'تنظیمات'!$B$17)*'تنظیمات'!$B$20)/12,2)</x:f>
        <x:v>0</x:v>
      </x:c>
      <x:c r="Q134" s="21" t="n">
        <x:f>ROUND(MIN(L134*12,'تنظیمات'!$B$21)*'تنظیمات'!$B$22/12,2)</x:f>
        <x:v>0</x:v>
      </x:c>
      <x:c r="R134" s="21" t="n">
        <x:f>ROUND(MIN('تنظیمات'!$B$16,MAX(0,L134*12-'تنظیمات'!$B$14)*'تنظیمات'!$B$15)/12,2)</x:f>
        <x:v>0</x:v>
      </x:c>
      <x:c r="S134" s="21" t="n">
        <x:f>SUM(M134:R134)</x:f>
        <x:v>0</x:v>
      </x:c>
      <x:c r="T134" s="21" t="n">
        <x:f>L134-S134</x:f>
        <x:v>0</x:v>
      </x:c>
      <x:c r="U134" s="22" t="n">
        <x:f>'تنظیمات'!$B$5</x:f>
        <x:v>46266</x:v>
      </x:c>
      <x:c r="V134" s="22" t="n">
        <x:f>'تنظیمات'!$B$6</x:f>
        <x:v>46295</x:v>
      </x:c>
      <x:c r="W134" s="17" t="str">
        <x:f>IF(AND(A134&lt;&gt;"",T134&gt;=0),"OK","بررسی شود")</x:f>
        <x:v>بررسی شود</x:v>
      </x:c>
    </x:row>
    <x:row r="135">
      <x:c r="A135" s="13"/>
      <x:c r="B135" s="17" t="str">
        <x:f>IFERROR(VLOOKUP(A135,'کارمندان'!$A$5:$H$205,2,FALSE),"")</x:f>
      </x:c>
      <x:c r="C135" s="21" t="str">
        <x:f>IFERROR(VLOOKUP(A135,'کارمندان'!$A$5:$H$205,5,FALSE),0)</x:f>
      </x:c>
      <x:c r="D135" s="20" t="n">
        <x:f>SUMIFS('حضور و غیاب'!$J$5:$J$205,'حضور و غیاب'!$B$5:$B$205,$A135,'حضور و غیاب'!$A$5:$A$205,"&gt;="&amp;'تنظیمات'!$B$5,'حضور و غیاب'!$A$5:$A$205,"&lt;="&amp;'تنظیمات'!$B$6)</x:f>
        <x:v>0</x:v>
      </x:c>
      <x:c r="E135" s="20" t="n">
        <x:f>SUMIFS('حضور و غیاب'!$K$5:$K$205,'حضور و غیاب'!$B$5:$B$205,$A135,'حضور و غیاب'!$A$5:$A$205,"&gt;="&amp;'تنظیمات'!$B$5,'حضور و غیاب'!$A$5:$A$205,"&lt;="&amp;'تنظیمات'!$B$6)</x:f>
        <x:v>0</x:v>
      </x:c>
      <x:c r="F135" s="20" t="n">
        <x:f>SUMIFS('حضور و غیاب'!$G$5:$G$205,'حضور و غیاب'!$B$5:$B$205,$A135,'حضور و غیاب'!$F$5:$F$205,"Paid",'حضور و غیاب'!$A$5:$A$205,"&gt;="&amp;'تنظیمات'!$B$5,'حضور و غیاب'!$A$5:$A$205,"&lt;="&amp;'تنظیمات'!$B$6)</x:f>
        <x:v>0</x:v>
      </x:c>
      <x:c r="G135" s="20" t="n">
        <x:f>SUMIFS('حضور و غیاب'!$L$5:$L$205,'حضور و غیاب'!$B$5:$B$205,$A135,'حضور و غیاب'!$A$5:$A$205,"&gt;="&amp;'تنظیمات'!$B$5,'حضور و غیاب'!$A$5:$A$205,"&lt;="&amp;'تنظیمات'!$B$6)</x:f>
        <x:v>0</x:v>
      </x:c>
      <x:c r="H135" s="21" t="n">
        <x:f>ROUND(C135*D135,2)</x:f>
        <x:v>0</x:v>
      </x:c>
      <x:c r="I135" s="21" t="n">
        <x:f>ROUND(C135*E135*'تنظیمات'!$B$7,2)</x:f>
        <x:v>0</x:v>
      </x:c>
      <x:c r="J135" s="21" t="n">
        <x:f>ROUND(C135*F135,2)</x:f>
        <x:v>0</x:v>
      </x:c>
      <x:c r="K135" s="21" t="n">
        <x:f>ROUND((H135+I135+J135)*'تنظیمات'!$B$8,2)</x:f>
        <x:v>0</x:v>
      </x:c>
      <x:c r="L135" s="21" t="n">
        <x:f>SUM(H135:K135)</x:f>
        <x:v>0</x:v>
      </x:c>
      <x:c r="M135" s="21" t="n">
        <x:f>ROUND(MAX(0,L135-'تنظیمات'!$B$9)*'تنظیمات'!$B$10,2)</x:f>
        <x:v>0</x:v>
      </x:c>
      <x:c r="N135" s="21" t="n">
        <x:f>ROUND(MAX(0,L135*12-'تنظیمات'!$B$11)/12*'تنظیمات'!$B$12,2)</x:f>
        <x:v>0</x:v>
      </x:c>
      <x:c r="O135" s="21" t="n">
        <x:f>ROUND(L135*'تنظیمات'!$B$13,2)</x:f>
        <x:v>0</x:v>
      </x:c>
      <x:c r="P135" s="21" t="n">
        <x:f>ROUND((MIN(L135*12,'تنظیمات'!$B$17)*'تنظیمات'!$B$18+MAX(0,MIN(L135*12,'تنظیمات'!$B$19)-'تنظیمات'!$B$17)*'تنظیمات'!$B$20)/12,2)</x:f>
        <x:v>0</x:v>
      </x:c>
      <x:c r="Q135" s="21" t="n">
        <x:f>ROUND(MIN(L135*12,'تنظیمات'!$B$21)*'تنظیمات'!$B$22/12,2)</x:f>
        <x:v>0</x:v>
      </x:c>
      <x:c r="R135" s="21" t="n">
        <x:f>ROUND(MIN('تنظیمات'!$B$16,MAX(0,L135*12-'تنظیمات'!$B$14)*'تنظیمات'!$B$15)/12,2)</x:f>
        <x:v>0</x:v>
      </x:c>
      <x:c r="S135" s="21" t="n">
        <x:f>SUM(M135:R135)</x:f>
        <x:v>0</x:v>
      </x:c>
      <x:c r="T135" s="21" t="n">
        <x:f>L135-S135</x:f>
        <x:v>0</x:v>
      </x:c>
      <x:c r="U135" s="22" t="n">
        <x:f>'تنظیمات'!$B$5</x:f>
        <x:v>46266</x:v>
      </x:c>
      <x:c r="V135" s="22" t="n">
        <x:f>'تنظیمات'!$B$6</x:f>
        <x:v>46295</x:v>
      </x:c>
      <x:c r="W135" s="17" t="str">
        <x:f>IF(AND(A135&lt;&gt;"",T135&gt;=0),"OK","بررسی شود")</x:f>
        <x:v>بررسی شود</x:v>
      </x:c>
    </x:row>
    <x:row r="136">
      <x:c r="A136" s="13"/>
      <x:c r="B136" s="17" t="str">
        <x:f>IFERROR(VLOOKUP(A136,'کارمندان'!$A$5:$H$205,2,FALSE),"")</x:f>
      </x:c>
      <x:c r="C136" s="21" t="str">
        <x:f>IFERROR(VLOOKUP(A136,'کارمندان'!$A$5:$H$205,5,FALSE),0)</x:f>
      </x:c>
      <x:c r="D136" s="20" t="n">
        <x:f>SUMIFS('حضور و غیاب'!$J$5:$J$205,'حضور و غیاب'!$B$5:$B$205,$A136,'حضور و غیاب'!$A$5:$A$205,"&gt;="&amp;'تنظیمات'!$B$5,'حضور و غیاب'!$A$5:$A$205,"&lt;="&amp;'تنظیمات'!$B$6)</x:f>
        <x:v>0</x:v>
      </x:c>
      <x:c r="E136" s="20" t="n">
        <x:f>SUMIFS('حضور و غیاب'!$K$5:$K$205,'حضور و غیاب'!$B$5:$B$205,$A136,'حضور و غیاب'!$A$5:$A$205,"&gt;="&amp;'تنظیمات'!$B$5,'حضور و غیاب'!$A$5:$A$205,"&lt;="&amp;'تنظیمات'!$B$6)</x:f>
        <x:v>0</x:v>
      </x:c>
      <x:c r="F136" s="20" t="n">
        <x:f>SUMIFS('حضور و غیاب'!$G$5:$G$205,'حضور و غیاب'!$B$5:$B$205,$A136,'حضور و غیاب'!$F$5:$F$205,"Paid",'حضور و غیاب'!$A$5:$A$205,"&gt;="&amp;'تنظیمات'!$B$5,'حضور و غیاب'!$A$5:$A$205,"&lt;="&amp;'تنظیمات'!$B$6)</x:f>
        <x:v>0</x:v>
      </x:c>
      <x:c r="G136" s="20" t="n">
        <x:f>SUMIFS('حضور و غیاب'!$L$5:$L$205,'حضور و غیاب'!$B$5:$B$205,$A136,'حضور و غیاب'!$A$5:$A$205,"&gt;="&amp;'تنظیمات'!$B$5,'حضور و غیاب'!$A$5:$A$205,"&lt;="&amp;'تنظیمات'!$B$6)</x:f>
        <x:v>0</x:v>
      </x:c>
      <x:c r="H136" s="21" t="n">
        <x:f>ROUND(C136*D136,2)</x:f>
        <x:v>0</x:v>
      </x:c>
      <x:c r="I136" s="21" t="n">
        <x:f>ROUND(C136*E136*'تنظیمات'!$B$7,2)</x:f>
        <x:v>0</x:v>
      </x:c>
      <x:c r="J136" s="21" t="n">
        <x:f>ROUND(C136*F136,2)</x:f>
        <x:v>0</x:v>
      </x:c>
      <x:c r="K136" s="21" t="n">
        <x:f>ROUND((H136+I136+J136)*'تنظیمات'!$B$8,2)</x:f>
        <x:v>0</x:v>
      </x:c>
      <x:c r="L136" s="21" t="n">
        <x:f>SUM(H136:K136)</x:f>
        <x:v>0</x:v>
      </x:c>
      <x:c r="M136" s="21" t="n">
        <x:f>ROUND(MAX(0,L136-'تنظیمات'!$B$9)*'تنظیمات'!$B$10,2)</x:f>
        <x:v>0</x:v>
      </x:c>
      <x:c r="N136" s="21" t="n">
        <x:f>ROUND(MAX(0,L136*12-'تنظیمات'!$B$11)/12*'تنظیمات'!$B$12,2)</x:f>
        <x:v>0</x:v>
      </x:c>
      <x:c r="O136" s="21" t="n">
        <x:f>ROUND(L136*'تنظیمات'!$B$13,2)</x:f>
        <x:v>0</x:v>
      </x:c>
      <x:c r="P136" s="21" t="n">
        <x:f>ROUND((MIN(L136*12,'تنظیمات'!$B$17)*'تنظیمات'!$B$18+MAX(0,MIN(L136*12,'تنظیمات'!$B$19)-'تنظیمات'!$B$17)*'تنظیمات'!$B$20)/12,2)</x:f>
        <x:v>0</x:v>
      </x:c>
      <x:c r="Q136" s="21" t="n">
        <x:f>ROUND(MIN(L136*12,'تنظیمات'!$B$21)*'تنظیمات'!$B$22/12,2)</x:f>
        <x:v>0</x:v>
      </x:c>
      <x:c r="R136" s="21" t="n">
        <x:f>ROUND(MIN('تنظیمات'!$B$16,MAX(0,L136*12-'تنظیمات'!$B$14)*'تنظیمات'!$B$15)/12,2)</x:f>
        <x:v>0</x:v>
      </x:c>
      <x:c r="S136" s="21" t="n">
        <x:f>SUM(M136:R136)</x:f>
        <x:v>0</x:v>
      </x:c>
      <x:c r="T136" s="21" t="n">
        <x:f>L136-S136</x:f>
        <x:v>0</x:v>
      </x:c>
      <x:c r="U136" s="22" t="n">
        <x:f>'تنظیمات'!$B$5</x:f>
        <x:v>46266</x:v>
      </x:c>
      <x:c r="V136" s="22" t="n">
        <x:f>'تنظیمات'!$B$6</x:f>
        <x:v>46295</x:v>
      </x:c>
      <x:c r="W136" s="17" t="str">
        <x:f>IF(AND(A136&lt;&gt;"",T136&gt;=0),"OK","بررسی شود")</x:f>
        <x:v>بررسی شود</x:v>
      </x:c>
    </x:row>
    <x:row r="137">
      <x:c r="A137" s="13"/>
      <x:c r="B137" s="17" t="str">
        <x:f>IFERROR(VLOOKUP(A137,'کارمندان'!$A$5:$H$205,2,FALSE),"")</x:f>
      </x:c>
      <x:c r="C137" s="21" t="str">
        <x:f>IFERROR(VLOOKUP(A137,'کارمندان'!$A$5:$H$205,5,FALSE),0)</x:f>
      </x:c>
      <x:c r="D137" s="20" t="n">
        <x:f>SUMIFS('حضور و غیاب'!$J$5:$J$205,'حضور و غیاب'!$B$5:$B$205,$A137,'حضور و غیاب'!$A$5:$A$205,"&gt;="&amp;'تنظیمات'!$B$5,'حضور و غیاب'!$A$5:$A$205,"&lt;="&amp;'تنظیمات'!$B$6)</x:f>
        <x:v>0</x:v>
      </x:c>
      <x:c r="E137" s="20" t="n">
        <x:f>SUMIFS('حضور و غیاب'!$K$5:$K$205,'حضور و غیاب'!$B$5:$B$205,$A137,'حضور و غیاب'!$A$5:$A$205,"&gt;="&amp;'تنظیمات'!$B$5,'حضور و غیاب'!$A$5:$A$205,"&lt;="&amp;'تنظیمات'!$B$6)</x:f>
        <x:v>0</x:v>
      </x:c>
      <x:c r="F137" s="20" t="n">
        <x:f>SUMIFS('حضور و غیاب'!$G$5:$G$205,'حضور و غیاب'!$B$5:$B$205,$A137,'حضور و غیاب'!$F$5:$F$205,"Paid",'حضور و غیاب'!$A$5:$A$205,"&gt;="&amp;'تنظیمات'!$B$5,'حضور و غیاب'!$A$5:$A$205,"&lt;="&amp;'تنظیمات'!$B$6)</x:f>
        <x:v>0</x:v>
      </x:c>
      <x:c r="G137" s="20" t="n">
        <x:f>SUMIFS('حضور و غیاب'!$L$5:$L$205,'حضور و غیاب'!$B$5:$B$205,$A137,'حضور و غیاب'!$A$5:$A$205,"&gt;="&amp;'تنظیمات'!$B$5,'حضور و غیاب'!$A$5:$A$205,"&lt;="&amp;'تنظیمات'!$B$6)</x:f>
        <x:v>0</x:v>
      </x:c>
      <x:c r="H137" s="21" t="n">
        <x:f>ROUND(C137*D137,2)</x:f>
        <x:v>0</x:v>
      </x:c>
      <x:c r="I137" s="21" t="n">
        <x:f>ROUND(C137*E137*'تنظیمات'!$B$7,2)</x:f>
        <x:v>0</x:v>
      </x:c>
      <x:c r="J137" s="21" t="n">
        <x:f>ROUND(C137*F137,2)</x:f>
        <x:v>0</x:v>
      </x:c>
      <x:c r="K137" s="21" t="n">
        <x:f>ROUND((H137+I137+J137)*'تنظیمات'!$B$8,2)</x:f>
        <x:v>0</x:v>
      </x:c>
      <x:c r="L137" s="21" t="n">
        <x:f>SUM(H137:K137)</x:f>
        <x:v>0</x:v>
      </x:c>
      <x:c r="M137" s="21" t="n">
        <x:f>ROUND(MAX(0,L137-'تنظیمات'!$B$9)*'تنظیمات'!$B$10,2)</x:f>
        <x:v>0</x:v>
      </x:c>
      <x:c r="N137" s="21" t="n">
        <x:f>ROUND(MAX(0,L137*12-'تنظیمات'!$B$11)/12*'تنظیمات'!$B$12,2)</x:f>
        <x:v>0</x:v>
      </x:c>
      <x:c r="O137" s="21" t="n">
        <x:f>ROUND(L137*'تنظیمات'!$B$13,2)</x:f>
        <x:v>0</x:v>
      </x:c>
      <x:c r="P137" s="21" t="n">
        <x:f>ROUND((MIN(L137*12,'تنظیمات'!$B$17)*'تنظیمات'!$B$18+MAX(0,MIN(L137*12,'تنظیمات'!$B$19)-'تنظیمات'!$B$17)*'تنظیمات'!$B$20)/12,2)</x:f>
        <x:v>0</x:v>
      </x:c>
      <x:c r="Q137" s="21" t="n">
        <x:f>ROUND(MIN(L137*12,'تنظیمات'!$B$21)*'تنظیمات'!$B$22/12,2)</x:f>
        <x:v>0</x:v>
      </x:c>
      <x:c r="R137" s="21" t="n">
        <x:f>ROUND(MIN('تنظیمات'!$B$16,MAX(0,L137*12-'تنظیمات'!$B$14)*'تنظیمات'!$B$15)/12,2)</x:f>
        <x:v>0</x:v>
      </x:c>
      <x:c r="S137" s="21" t="n">
        <x:f>SUM(M137:R137)</x:f>
        <x:v>0</x:v>
      </x:c>
      <x:c r="T137" s="21" t="n">
        <x:f>L137-S137</x:f>
        <x:v>0</x:v>
      </x:c>
      <x:c r="U137" s="22" t="n">
        <x:f>'تنظیمات'!$B$5</x:f>
        <x:v>46266</x:v>
      </x:c>
      <x:c r="V137" s="22" t="n">
        <x:f>'تنظیمات'!$B$6</x:f>
        <x:v>46295</x:v>
      </x:c>
      <x:c r="W137" s="17" t="str">
        <x:f>IF(AND(A137&lt;&gt;"",T137&gt;=0),"OK","بررسی شود")</x:f>
        <x:v>بررسی شود</x:v>
      </x:c>
    </x:row>
    <x:row r="138">
      <x:c r="A138" s="13"/>
      <x:c r="B138" s="17" t="str">
        <x:f>IFERROR(VLOOKUP(A138,'کارمندان'!$A$5:$H$205,2,FALSE),"")</x:f>
      </x:c>
      <x:c r="C138" s="21" t="str">
        <x:f>IFERROR(VLOOKUP(A138,'کارمندان'!$A$5:$H$205,5,FALSE),0)</x:f>
      </x:c>
      <x:c r="D138" s="20" t="n">
        <x:f>SUMIFS('حضور و غیاب'!$J$5:$J$205,'حضور و غیاب'!$B$5:$B$205,$A138,'حضور و غیاب'!$A$5:$A$205,"&gt;="&amp;'تنظیمات'!$B$5,'حضور و غیاب'!$A$5:$A$205,"&lt;="&amp;'تنظیمات'!$B$6)</x:f>
        <x:v>0</x:v>
      </x:c>
      <x:c r="E138" s="20" t="n">
        <x:f>SUMIFS('حضور و غیاب'!$K$5:$K$205,'حضور و غیاب'!$B$5:$B$205,$A138,'حضور و غیاب'!$A$5:$A$205,"&gt;="&amp;'تنظیمات'!$B$5,'حضور و غیاب'!$A$5:$A$205,"&lt;="&amp;'تنظیمات'!$B$6)</x:f>
        <x:v>0</x:v>
      </x:c>
      <x:c r="F138" s="20" t="n">
        <x:f>SUMIFS('حضور و غیاب'!$G$5:$G$205,'حضور و غیاب'!$B$5:$B$205,$A138,'حضور و غیاب'!$F$5:$F$205,"Paid",'حضور و غیاب'!$A$5:$A$205,"&gt;="&amp;'تنظیمات'!$B$5,'حضور و غیاب'!$A$5:$A$205,"&lt;="&amp;'تنظیمات'!$B$6)</x:f>
        <x:v>0</x:v>
      </x:c>
      <x:c r="G138" s="20" t="n">
        <x:f>SUMIFS('حضور و غیاب'!$L$5:$L$205,'حضور و غیاب'!$B$5:$B$205,$A138,'حضور و غیاب'!$A$5:$A$205,"&gt;="&amp;'تنظیمات'!$B$5,'حضور و غیاب'!$A$5:$A$205,"&lt;="&amp;'تنظیمات'!$B$6)</x:f>
        <x:v>0</x:v>
      </x:c>
      <x:c r="H138" s="21" t="n">
        <x:f>ROUND(C138*D138,2)</x:f>
        <x:v>0</x:v>
      </x:c>
      <x:c r="I138" s="21" t="n">
        <x:f>ROUND(C138*E138*'تنظیمات'!$B$7,2)</x:f>
        <x:v>0</x:v>
      </x:c>
      <x:c r="J138" s="21" t="n">
        <x:f>ROUND(C138*F138,2)</x:f>
        <x:v>0</x:v>
      </x:c>
      <x:c r="K138" s="21" t="n">
        <x:f>ROUND((H138+I138+J138)*'تنظیمات'!$B$8,2)</x:f>
        <x:v>0</x:v>
      </x:c>
      <x:c r="L138" s="21" t="n">
        <x:f>SUM(H138:K138)</x:f>
        <x:v>0</x:v>
      </x:c>
      <x:c r="M138" s="21" t="n">
        <x:f>ROUND(MAX(0,L138-'تنظیمات'!$B$9)*'تنظیمات'!$B$10,2)</x:f>
        <x:v>0</x:v>
      </x:c>
      <x:c r="N138" s="21" t="n">
        <x:f>ROUND(MAX(0,L138*12-'تنظیمات'!$B$11)/12*'تنظیمات'!$B$12,2)</x:f>
        <x:v>0</x:v>
      </x:c>
      <x:c r="O138" s="21" t="n">
        <x:f>ROUND(L138*'تنظیمات'!$B$13,2)</x:f>
        <x:v>0</x:v>
      </x:c>
      <x:c r="P138" s="21" t="n">
        <x:f>ROUND((MIN(L138*12,'تنظیمات'!$B$17)*'تنظیمات'!$B$18+MAX(0,MIN(L138*12,'تنظیمات'!$B$19)-'تنظیمات'!$B$17)*'تنظیمات'!$B$20)/12,2)</x:f>
        <x:v>0</x:v>
      </x:c>
      <x:c r="Q138" s="21" t="n">
        <x:f>ROUND(MIN(L138*12,'تنظیمات'!$B$21)*'تنظیمات'!$B$22/12,2)</x:f>
        <x:v>0</x:v>
      </x:c>
      <x:c r="R138" s="21" t="n">
        <x:f>ROUND(MIN('تنظیمات'!$B$16,MAX(0,L138*12-'تنظیمات'!$B$14)*'تنظیمات'!$B$15)/12,2)</x:f>
        <x:v>0</x:v>
      </x:c>
      <x:c r="S138" s="21" t="n">
        <x:f>SUM(M138:R138)</x:f>
        <x:v>0</x:v>
      </x:c>
      <x:c r="T138" s="21" t="n">
        <x:f>L138-S138</x:f>
        <x:v>0</x:v>
      </x:c>
      <x:c r="U138" s="22" t="n">
        <x:f>'تنظیمات'!$B$5</x:f>
        <x:v>46266</x:v>
      </x:c>
      <x:c r="V138" s="22" t="n">
        <x:f>'تنظیمات'!$B$6</x:f>
        <x:v>46295</x:v>
      </x:c>
      <x:c r="W138" s="17" t="str">
        <x:f>IF(AND(A138&lt;&gt;"",T138&gt;=0),"OK","بررسی شود")</x:f>
        <x:v>بررسی شود</x:v>
      </x:c>
    </x:row>
    <x:row r="139">
      <x:c r="A139" s="13"/>
      <x:c r="B139" s="17" t="str">
        <x:f>IFERROR(VLOOKUP(A139,'کارمندان'!$A$5:$H$205,2,FALSE),"")</x:f>
      </x:c>
      <x:c r="C139" s="21" t="str">
        <x:f>IFERROR(VLOOKUP(A139,'کارمندان'!$A$5:$H$205,5,FALSE),0)</x:f>
      </x:c>
      <x:c r="D139" s="20" t="n">
        <x:f>SUMIFS('حضور و غیاب'!$J$5:$J$205,'حضور و غیاب'!$B$5:$B$205,$A139,'حضور و غیاب'!$A$5:$A$205,"&gt;="&amp;'تنظیمات'!$B$5,'حضور و غیاب'!$A$5:$A$205,"&lt;="&amp;'تنظیمات'!$B$6)</x:f>
        <x:v>0</x:v>
      </x:c>
      <x:c r="E139" s="20" t="n">
        <x:f>SUMIFS('حضور و غیاب'!$K$5:$K$205,'حضور و غیاب'!$B$5:$B$205,$A139,'حضور و غیاب'!$A$5:$A$205,"&gt;="&amp;'تنظیمات'!$B$5,'حضور و غیاب'!$A$5:$A$205,"&lt;="&amp;'تنظیمات'!$B$6)</x:f>
        <x:v>0</x:v>
      </x:c>
      <x:c r="F139" s="20" t="n">
        <x:f>SUMIFS('حضور و غیاب'!$G$5:$G$205,'حضور و غیاب'!$B$5:$B$205,$A139,'حضور و غیاب'!$F$5:$F$205,"Paid",'حضور و غیاب'!$A$5:$A$205,"&gt;="&amp;'تنظیمات'!$B$5,'حضور و غیاب'!$A$5:$A$205,"&lt;="&amp;'تنظیمات'!$B$6)</x:f>
        <x:v>0</x:v>
      </x:c>
      <x:c r="G139" s="20" t="n">
        <x:f>SUMIFS('حضور و غیاب'!$L$5:$L$205,'حضور و غیاب'!$B$5:$B$205,$A139,'حضور و غیاب'!$A$5:$A$205,"&gt;="&amp;'تنظیمات'!$B$5,'حضور و غیاب'!$A$5:$A$205,"&lt;="&amp;'تنظیمات'!$B$6)</x:f>
        <x:v>0</x:v>
      </x:c>
      <x:c r="H139" s="21" t="n">
        <x:f>ROUND(C139*D139,2)</x:f>
        <x:v>0</x:v>
      </x:c>
      <x:c r="I139" s="21" t="n">
        <x:f>ROUND(C139*E139*'تنظیمات'!$B$7,2)</x:f>
        <x:v>0</x:v>
      </x:c>
      <x:c r="J139" s="21" t="n">
        <x:f>ROUND(C139*F139,2)</x:f>
        <x:v>0</x:v>
      </x:c>
      <x:c r="K139" s="21" t="n">
        <x:f>ROUND((H139+I139+J139)*'تنظیمات'!$B$8,2)</x:f>
        <x:v>0</x:v>
      </x:c>
      <x:c r="L139" s="21" t="n">
        <x:f>SUM(H139:K139)</x:f>
        <x:v>0</x:v>
      </x:c>
      <x:c r="M139" s="21" t="n">
        <x:f>ROUND(MAX(0,L139-'تنظیمات'!$B$9)*'تنظیمات'!$B$10,2)</x:f>
        <x:v>0</x:v>
      </x:c>
      <x:c r="N139" s="21" t="n">
        <x:f>ROUND(MAX(0,L139*12-'تنظیمات'!$B$11)/12*'تنظیمات'!$B$12,2)</x:f>
        <x:v>0</x:v>
      </x:c>
      <x:c r="O139" s="21" t="n">
        <x:f>ROUND(L139*'تنظیمات'!$B$13,2)</x:f>
        <x:v>0</x:v>
      </x:c>
      <x:c r="P139" s="21" t="n">
        <x:f>ROUND((MIN(L139*12,'تنظیمات'!$B$17)*'تنظیمات'!$B$18+MAX(0,MIN(L139*12,'تنظیمات'!$B$19)-'تنظیمات'!$B$17)*'تنظیمات'!$B$20)/12,2)</x:f>
        <x:v>0</x:v>
      </x:c>
      <x:c r="Q139" s="21" t="n">
        <x:f>ROUND(MIN(L139*12,'تنظیمات'!$B$21)*'تنظیمات'!$B$22/12,2)</x:f>
        <x:v>0</x:v>
      </x:c>
      <x:c r="R139" s="21" t="n">
        <x:f>ROUND(MIN('تنظیمات'!$B$16,MAX(0,L139*12-'تنظیمات'!$B$14)*'تنظیمات'!$B$15)/12,2)</x:f>
        <x:v>0</x:v>
      </x:c>
      <x:c r="S139" s="21" t="n">
        <x:f>SUM(M139:R139)</x:f>
        <x:v>0</x:v>
      </x:c>
      <x:c r="T139" s="21" t="n">
        <x:f>L139-S139</x:f>
        <x:v>0</x:v>
      </x:c>
      <x:c r="U139" s="22" t="n">
        <x:f>'تنظیمات'!$B$5</x:f>
        <x:v>46266</x:v>
      </x:c>
      <x:c r="V139" s="22" t="n">
        <x:f>'تنظیمات'!$B$6</x:f>
        <x:v>46295</x:v>
      </x:c>
      <x:c r="W139" s="17" t="str">
        <x:f>IF(AND(A139&lt;&gt;"",T139&gt;=0),"OK","بررسی شود")</x:f>
        <x:v>بررسی شود</x:v>
      </x:c>
    </x:row>
    <x:row r="140">
      <x:c r="A140" s="13"/>
      <x:c r="B140" s="17" t="str">
        <x:f>IFERROR(VLOOKUP(A140,'کارمندان'!$A$5:$H$205,2,FALSE),"")</x:f>
      </x:c>
      <x:c r="C140" s="21" t="str">
        <x:f>IFERROR(VLOOKUP(A140,'کارمندان'!$A$5:$H$205,5,FALSE),0)</x:f>
      </x:c>
      <x:c r="D140" s="20" t="n">
        <x:f>SUMIFS('حضور و غیاب'!$J$5:$J$205,'حضور و غیاب'!$B$5:$B$205,$A140,'حضور و غیاب'!$A$5:$A$205,"&gt;="&amp;'تنظیمات'!$B$5,'حضور و غیاب'!$A$5:$A$205,"&lt;="&amp;'تنظیمات'!$B$6)</x:f>
        <x:v>0</x:v>
      </x:c>
      <x:c r="E140" s="20" t="n">
        <x:f>SUMIFS('حضور و غیاب'!$K$5:$K$205,'حضور و غیاب'!$B$5:$B$205,$A140,'حضور و غیاب'!$A$5:$A$205,"&gt;="&amp;'تنظیمات'!$B$5,'حضور و غیاب'!$A$5:$A$205,"&lt;="&amp;'تنظیمات'!$B$6)</x:f>
        <x:v>0</x:v>
      </x:c>
      <x:c r="F140" s="20" t="n">
        <x:f>SUMIFS('حضور و غیاب'!$G$5:$G$205,'حضور و غیاب'!$B$5:$B$205,$A140,'حضور و غیاب'!$F$5:$F$205,"Paid",'حضور و غیاب'!$A$5:$A$205,"&gt;="&amp;'تنظیمات'!$B$5,'حضور و غیاب'!$A$5:$A$205,"&lt;="&amp;'تنظیمات'!$B$6)</x:f>
        <x:v>0</x:v>
      </x:c>
      <x:c r="G140" s="20" t="n">
        <x:f>SUMIFS('حضور و غیاب'!$L$5:$L$205,'حضور و غیاب'!$B$5:$B$205,$A140,'حضور و غیاب'!$A$5:$A$205,"&gt;="&amp;'تنظیمات'!$B$5,'حضور و غیاب'!$A$5:$A$205,"&lt;="&amp;'تنظیمات'!$B$6)</x:f>
        <x:v>0</x:v>
      </x:c>
      <x:c r="H140" s="21" t="n">
        <x:f>ROUND(C140*D140,2)</x:f>
        <x:v>0</x:v>
      </x:c>
      <x:c r="I140" s="21" t="n">
        <x:f>ROUND(C140*E140*'تنظیمات'!$B$7,2)</x:f>
        <x:v>0</x:v>
      </x:c>
      <x:c r="J140" s="21" t="n">
        <x:f>ROUND(C140*F140,2)</x:f>
        <x:v>0</x:v>
      </x:c>
      <x:c r="K140" s="21" t="n">
        <x:f>ROUND((H140+I140+J140)*'تنظیمات'!$B$8,2)</x:f>
        <x:v>0</x:v>
      </x:c>
      <x:c r="L140" s="21" t="n">
        <x:f>SUM(H140:K140)</x:f>
        <x:v>0</x:v>
      </x:c>
      <x:c r="M140" s="21" t="n">
        <x:f>ROUND(MAX(0,L140-'تنظیمات'!$B$9)*'تنظیمات'!$B$10,2)</x:f>
        <x:v>0</x:v>
      </x:c>
      <x:c r="N140" s="21" t="n">
        <x:f>ROUND(MAX(0,L140*12-'تنظیمات'!$B$11)/12*'تنظیمات'!$B$12,2)</x:f>
        <x:v>0</x:v>
      </x:c>
      <x:c r="O140" s="21" t="n">
        <x:f>ROUND(L140*'تنظیمات'!$B$13,2)</x:f>
        <x:v>0</x:v>
      </x:c>
      <x:c r="P140" s="21" t="n">
        <x:f>ROUND((MIN(L140*12,'تنظیمات'!$B$17)*'تنظیمات'!$B$18+MAX(0,MIN(L140*12,'تنظیمات'!$B$19)-'تنظیمات'!$B$17)*'تنظیمات'!$B$20)/12,2)</x:f>
        <x:v>0</x:v>
      </x:c>
      <x:c r="Q140" s="21" t="n">
        <x:f>ROUND(MIN(L140*12,'تنظیمات'!$B$21)*'تنظیمات'!$B$22/12,2)</x:f>
        <x:v>0</x:v>
      </x:c>
      <x:c r="R140" s="21" t="n">
        <x:f>ROUND(MIN('تنظیمات'!$B$16,MAX(0,L140*12-'تنظیمات'!$B$14)*'تنظیمات'!$B$15)/12,2)</x:f>
        <x:v>0</x:v>
      </x:c>
      <x:c r="S140" s="21" t="n">
        <x:f>SUM(M140:R140)</x:f>
        <x:v>0</x:v>
      </x:c>
      <x:c r="T140" s="21" t="n">
        <x:f>L140-S140</x:f>
        <x:v>0</x:v>
      </x:c>
      <x:c r="U140" s="22" t="n">
        <x:f>'تنظیمات'!$B$5</x:f>
        <x:v>46266</x:v>
      </x:c>
      <x:c r="V140" s="22" t="n">
        <x:f>'تنظیمات'!$B$6</x:f>
        <x:v>46295</x:v>
      </x:c>
      <x:c r="W140" s="17" t="str">
        <x:f>IF(AND(A140&lt;&gt;"",T140&gt;=0),"OK","بررسی شود")</x:f>
        <x:v>بررسی شود</x:v>
      </x:c>
    </x:row>
    <x:row r="141">
      <x:c r="A141" s="13"/>
      <x:c r="B141" s="17" t="str">
        <x:f>IFERROR(VLOOKUP(A141,'کارمندان'!$A$5:$H$205,2,FALSE),"")</x:f>
      </x:c>
      <x:c r="C141" s="21" t="str">
        <x:f>IFERROR(VLOOKUP(A141,'کارمندان'!$A$5:$H$205,5,FALSE),0)</x:f>
      </x:c>
      <x:c r="D141" s="20" t="n">
        <x:f>SUMIFS('حضور و غیاب'!$J$5:$J$205,'حضور و غیاب'!$B$5:$B$205,$A141,'حضور و غیاب'!$A$5:$A$205,"&gt;="&amp;'تنظیمات'!$B$5,'حضور و غیاب'!$A$5:$A$205,"&lt;="&amp;'تنظیمات'!$B$6)</x:f>
        <x:v>0</x:v>
      </x:c>
      <x:c r="E141" s="20" t="n">
        <x:f>SUMIFS('حضور و غیاب'!$K$5:$K$205,'حضور و غیاب'!$B$5:$B$205,$A141,'حضور و غیاب'!$A$5:$A$205,"&gt;="&amp;'تنظیمات'!$B$5,'حضور و غیاب'!$A$5:$A$205,"&lt;="&amp;'تنظیمات'!$B$6)</x:f>
        <x:v>0</x:v>
      </x:c>
      <x:c r="F141" s="20" t="n">
        <x:f>SUMIFS('حضور و غیاب'!$G$5:$G$205,'حضور و غیاب'!$B$5:$B$205,$A141,'حضور و غیاب'!$F$5:$F$205,"Paid",'حضور و غیاب'!$A$5:$A$205,"&gt;="&amp;'تنظیمات'!$B$5,'حضور و غیاب'!$A$5:$A$205,"&lt;="&amp;'تنظیمات'!$B$6)</x:f>
        <x:v>0</x:v>
      </x:c>
      <x:c r="G141" s="20" t="n">
        <x:f>SUMIFS('حضور و غیاب'!$L$5:$L$205,'حضور و غیاب'!$B$5:$B$205,$A141,'حضور و غیاب'!$A$5:$A$205,"&gt;="&amp;'تنظیمات'!$B$5,'حضور و غیاب'!$A$5:$A$205,"&lt;="&amp;'تنظیمات'!$B$6)</x:f>
        <x:v>0</x:v>
      </x:c>
      <x:c r="H141" s="21" t="n">
        <x:f>ROUND(C141*D141,2)</x:f>
        <x:v>0</x:v>
      </x:c>
      <x:c r="I141" s="21" t="n">
        <x:f>ROUND(C141*E141*'تنظیمات'!$B$7,2)</x:f>
        <x:v>0</x:v>
      </x:c>
      <x:c r="J141" s="21" t="n">
        <x:f>ROUND(C141*F141,2)</x:f>
        <x:v>0</x:v>
      </x:c>
      <x:c r="K141" s="21" t="n">
        <x:f>ROUND((H141+I141+J141)*'تنظیمات'!$B$8,2)</x:f>
        <x:v>0</x:v>
      </x:c>
      <x:c r="L141" s="21" t="n">
        <x:f>SUM(H141:K141)</x:f>
        <x:v>0</x:v>
      </x:c>
      <x:c r="M141" s="21" t="n">
        <x:f>ROUND(MAX(0,L141-'تنظیمات'!$B$9)*'تنظیمات'!$B$10,2)</x:f>
        <x:v>0</x:v>
      </x:c>
      <x:c r="N141" s="21" t="n">
        <x:f>ROUND(MAX(0,L141*12-'تنظیمات'!$B$11)/12*'تنظیمات'!$B$12,2)</x:f>
        <x:v>0</x:v>
      </x:c>
      <x:c r="O141" s="21" t="n">
        <x:f>ROUND(L141*'تنظیمات'!$B$13,2)</x:f>
        <x:v>0</x:v>
      </x:c>
      <x:c r="P141" s="21" t="n">
        <x:f>ROUND((MIN(L141*12,'تنظیمات'!$B$17)*'تنظیمات'!$B$18+MAX(0,MIN(L141*12,'تنظیمات'!$B$19)-'تنظیمات'!$B$17)*'تنظیمات'!$B$20)/12,2)</x:f>
        <x:v>0</x:v>
      </x:c>
      <x:c r="Q141" s="21" t="n">
        <x:f>ROUND(MIN(L141*12,'تنظیمات'!$B$21)*'تنظیمات'!$B$22/12,2)</x:f>
        <x:v>0</x:v>
      </x:c>
      <x:c r="R141" s="21" t="n">
        <x:f>ROUND(MIN('تنظیمات'!$B$16,MAX(0,L141*12-'تنظیمات'!$B$14)*'تنظیمات'!$B$15)/12,2)</x:f>
        <x:v>0</x:v>
      </x:c>
      <x:c r="S141" s="21" t="n">
        <x:f>SUM(M141:R141)</x:f>
        <x:v>0</x:v>
      </x:c>
      <x:c r="T141" s="21" t="n">
        <x:f>L141-S141</x:f>
        <x:v>0</x:v>
      </x:c>
      <x:c r="U141" s="22" t="n">
        <x:f>'تنظیمات'!$B$5</x:f>
        <x:v>46266</x:v>
      </x:c>
      <x:c r="V141" s="22" t="n">
        <x:f>'تنظیمات'!$B$6</x:f>
        <x:v>46295</x:v>
      </x:c>
      <x:c r="W141" s="17" t="str">
        <x:f>IF(AND(A141&lt;&gt;"",T141&gt;=0),"OK","بررسی شود")</x:f>
        <x:v>بررسی شود</x:v>
      </x:c>
    </x:row>
    <x:row r="142">
      <x:c r="A142" s="13"/>
      <x:c r="B142" s="17" t="str">
        <x:f>IFERROR(VLOOKUP(A142,'کارمندان'!$A$5:$H$205,2,FALSE),"")</x:f>
      </x:c>
      <x:c r="C142" s="21" t="str">
        <x:f>IFERROR(VLOOKUP(A142,'کارمندان'!$A$5:$H$205,5,FALSE),0)</x:f>
      </x:c>
      <x:c r="D142" s="20" t="n">
        <x:f>SUMIFS('حضور و غیاب'!$J$5:$J$205,'حضور و غیاب'!$B$5:$B$205,$A142,'حضور و غیاب'!$A$5:$A$205,"&gt;="&amp;'تنظیمات'!$B$5,'حضور و غیاب'!$A$5:$A$205,"&lt;="&amp;'تنظیمات'!$B$6)</x:f>
        <x:v>0</x:v>
      </x:c>
      <x:c r="E142" s="20" t="n">
        <x:f>SUMIFS('حضور و غیاب'!$K$5:$K$205,'حضور و غیاب'!$B$5:$B$205,$A142,'حضور و غیاب'!$A$5:$A$205,"&gt;="&amp;'تنظیمات'!$B$5,'حضور و غیاب'!$A$5:$A$205,"&lt;="&amp;'تنظیمات'!$B$6)</x:f>
        <x:v>0</x:v>
      </x:c>
      <x:c r="F142" s="20" t="n">
        <x:f>SUMIFS('حضور و غیاب'!$G$5:$G$205,'حضور و غیاب'!$B$5:$B$205,$A142,'حضور و غیاب'!$F$5:$F$205,"Paid",'حضور و غیاب'!$A$5:$A$205,"&gt;="&amp;'تنظیمات'!$B$5,'حضور و غیاب'!$A$5:$A$205,"&lt;="&amp;'تنظیمات'!$B$6)</x:f>
        <x:v>0</x:v>
      </x:c>
      <x:c r="G142" s="20" t="n">
        <x:f>SUMIFS('حضور و غیاب'!$L$5:$L$205,'حضور و غیاب'!$B$5:$B$205,$A142,'حضور و غیاب'!$A$5:$A$205,"&gt;="&amp;'تنظیمات'!$B$5,'حضور و غیاب'!$A$5:$A$205,"&lt;="&amp;'تنظیمات'!$B$6)</x:f>
        <x:v>0</x:v>
      </x:c>
      <x:c r="H142" s="21" t="n">
        <x:f>ROUND(C142*D142,2)</x:f>
        <x:v>0</x:v>
      </x:c>
      <x:c r="I142" s="21" t="n">
        <x:f>ROUND(C142*E142*'تنظیمات'!$B$7,2)</x:f>
        <x:v>0</x:v>
      </x:c>
      <x:c r="J142" s="21" t="n">
        <x:f>ROUND(C142*F142,2)</x:f>
        <x:v>0</x:v>
      </x:c>
      <x:c r="K142" s="21" t="n">
        <x:f>ROUND((H142+I142+J142)*'تنظیمات'!$B$8,2)</x:f>
        <x:v>0</x:v>
      </x:c>
      <x:c r="L142" s="21" t="n">
        <x:f>SUM(H142:K142)</x:f>
        <x:v>0</x:v>
      </x:c>
      <x:c r="M142" s="21" t="n">
        <x:f>ROUND(MAX(0,L142-'تنظیمات'!$B$9)*'تنظیمات'!$B$10,2)</x:f>
        <x:v>0</x:v>
      </x:c>
      <x:c r="N142" s="21" t="n">
        <x:f>ROUND(MAX(0,L142*12-'تنظیمات'!$B$11)/12*'تنظیمات'!$B$12,2)</x:f>
        <x:v>0</x:v>
      </x:c>
      <x:c r="O142" s="21" t="n">
        <x:f>ROUND(L142*'تنظیمات'!$B$13,2)</x:f>
        <x:v>0</x:v>
      </x:c>
      <x:c r="P142" s="21" t="n">
        <x:f>ROUND((MIN(L142*12,'تنظیمات'!$B$17)*'تنظیمات'!$B$18+MAX(0,MIN(L142*12,'تنظیمات'!$B$19)-'تنظیمات'!$B$17)*'تنظیمات'!$B$20)/12,2)</x:f>
        <x:v>0</x:v>
      </x:c>
      <x:c r="Q142" s="21" t="n">
        <x:f>ROUND(MIN(L142*12,'تنظیمات'!$B$21)*'تنظیمات'!$B$22/12,2)</x:f>
        <x:v>0</x:v>
      </x:c>
      <x:c r="R142" s="21" t="n">
        <x:f>ROUND(MIN('تنظیمات'!$B$16,MAX(0,L142*12-'تنظیمات'!$B$14)*'تنظیمات'!$B$15)/12,2)</x:f>
        <x:v>0</x:v>
      </x:c>
      <x:c r="S142" s="21" t="n">
        <x:f>SUM(M142:R142)</x:f>
        <x:v>0</x:v>
      </x:c>
      <x:c r="T142" s="21" t="n">
        <x:f>L142-S142</x:f>
        <x:v>0</x:v>
      </x:c>
      <x:c r="U142" s="22" t="n">
        <x:f>'تنظیمات'!$B$5</x:f>
        <x:v>46266</x:v>
      </x:c>
      <x:c r="V142" s="22" t="n">
        <x:f>'تنظیمات'!$B$6</x:f>
        <x:v>46295</x:v>
      </x:c>
      <x:c r="W142" s="17" t="str">
        <x:f>IF(AND(A142&lt;&gt;"",T142&gt;=0),"OK","بررسی شود")</x:f>
        <x:v>بررسی شود</x:v>
      </x:c>
    </x:row>
    <x:row r="143">
      <x:c r="A143" s="13"/>
      <x:c r="B143" s="17" t="str">
        <x:f>IFERROR(VLOOKUP(A143,'کارمندان'!$A$5:$H$205,2,FALSE),"")</x:f>
      </x:c>
      <x:c r="C143" s="21" t="str">
        <x:f>IFERROR(VLOOKUP(A143,'کارمندان'!$A$5:$H$205,5,FALSE),0)</x:f>
      </x:c>
      <x:c r="D143" s="20" t="n">
        <x:f>SUMIFS('حضور و غیاب'!$J$5:$J$205,'حضور و غیاب'!$B$5:$B$205,$A143,'حضور و غیاب'!$A$5:$A$205,"&gt;="&amp;'تنظیمات'!$B$5,'حضور و غیاب'!$A$5:$A$205,"&lt;="&amp;'تنظیمات'!$B$6)</x:f>
        <x:v>0</x:v>
      </x:c>
      <x:c r="E143" s="20" t="n">
        <x:f>SUMIFS('حضور و غیاب'!$K$5:$K$205,'حضور و غیاب'!$B$5:$B$205,$A143,'حضور و غیاب'!$A$5:$A$205,"&gt;="&amp;'تنظیمات'!$B$5,'حضور و غیاب'!$A$5:$A$205,"&lt;="&amp;'تنظیمات'!$B$6)</x:f>
        <x:v>0</x:v>
      </x:c>
      <x:c r="F143" s="20" t="n">
        <x:f>SUMIFS('حضور و غیاب'!$G$5:$G$205,'حضور و غیاب'!$B$5:$B$205,$A143,'حضور و غیاب'!$F$5:$F$205,"Paid",'حضور و غیاب'!$A$5:$A$205,"&gt;="&amp;'تنظیمات'!$B$5,'حضور و غیاب'!$A$5:$A$205,"&lt;="&amp;'تنظیمات'!$B$6)</x:f>
        <x:v>0</x:v>
      </x:c>
      <x:c r="G143" s="20" t="n">
        <x:f>SUMIFS('حضور و غیاب'!$L$5:$L$205,'حضور و غیاب'!$B$5:$B$205,$A143,'حضور و غیاب'!$A$5:$A$205,"&gt;="&amp;'تنظیمات'!$B$5,'حضور و غیاب'!$A$5:$A$205,"&lt;="&amp;'تنظیمات'!$B$6)</x:f>
        <x:v>0</x:v>
      </x:c>
      <x:c r="H143" s="21" t="n">
        <x:f>ROUND(C143*D143,2)</x:f>
        <x:v>0</x:v>
      </x:c>
      <x:c r="I143" s="21" t="n">
        <x:f>ROUND(C143*E143*'تنظیمات'!$B$7,2)</x:f>
        <x:v>0</x:v>
      </x:c>
      <x:c r="J143" s="21" t="n">
        <x:f>ROUND(C143*F143,2)</x:f>
        <x:v>0</x:v>
      </x:c>
      <x:c r="K143" s="21" t="n">
        <x:f>ROUND((H143+I143+J143)*'تنظیمات'!$B$8,2)</x:f>
        <x:v>0</x:v>
      </x:c>
      <x:c r="L143" s="21" t="n">
        <x:f>SUM(H143:K143)</x:f>
        <x:v>0</x:v>
      </x:c>
      <x:c r="M143" s="21" t="n">
        <x:f>ROUND(MAX(0,L143-'تنظیمات'!$B$9)*'تنظیمات'!$B$10,2)</x:f>
        <x:v>0</x:v>
      </x:c>
      <x:c r="N143" s="21" t="n">
        <x:f>ROUND(MAX(0,L143*12-'تنظیمات'!$B$11)/12*'تنظیمات'!$B$12,2)</x:f>
        <x:v>0</x:v>
      </x:c>
      <x:c r="O143" s="21" t="n">
        <x:f>ROUND(L143*'تنظیمات'!$B$13,2)</x:f>
        <x:v>0</x:v>
      </x:c>
      <x:c r="P143" s="21" t="n">
        <x:f>ROUND((MIN(L143*12,'تنظیمات'!$B$17)*'تنظیمات'!$B$18+MAX(0,MIN(L143*12,'تنظیمات'!$B$19)-'تنظیمات'!$B$17)*'تنظیمات'!$B$20)/12,2)</x:f>
        <x:v>0</x:v>
      </x:c>
      <x:c r="Q143" s="21" t="n">
        <x:f>ROUND(MIN(L143*12,'تنظیمات'!$B$21)*'تنظیمات'!$B$22/12,2)</x:f>
        <x:v>0</x:v>
      </x:c>
      <x:c r="R143" s="21" t="n">
        <x:f>ROUND(MIN('تنظیمات'!$B$16,MAX(0,L143*12-'تنظیمات'!$B$14)*'تنظیمات'!$B$15)/12,2)</x:f>
        <x:v>0</x:v>
      </x:c>
      <x:c r="S143" s="21" t="n">
        <x:f>SUM(M143:R143)</x:f>
        <x:v>0</x:v>
      </x:c>
      <x:c r="T143" s="21" t="n">
        <x:f>L143-S143</x:f>
        <x:v>0</x:v>
      </x:c>
      <x:c r="U143" s="22" t="n">
        <x:f>'تنظیمات'!$B$5</x:f>
        <x:v>46266</x:v>
      </x:c>
      <x:c r="V143" s="22" t="n">
        <x:f>'تنظیمات'!$B$6</x:f>
        <x:v>46295</x:v>
      </x:c>
      <x:c r="W143" s="17" t="str">
        <x:f>IF(AND(A143&lt;&gt;"",T143&gt;=0),"OK","بررسی شود")</x:f>
        <x:v>بررسی شود</x:v>
      </x:c>
    </x:row>
    <x:row r="144">
      <x:c r="A144" s="13"/>
      <x:c r="B144" s="17" t="str">
        <x:f>IFERROR(VLOOKUP(A144,'کارمندان'!$A$5:$H$205,2,FALSE),"")</x:f>
      </x:c>
      <x:c r="C144" s="21" t="str">
        <x:f>IFERROR(VLOOKUP(A144,'کارمندان'!$A$5:$H$205,5,FALSE),0)</x:f>
      </x:c>
      <x:c r="D144" s="20" t="n">
        <x:f>SUMIFS('حضور و غیاب'!$J$5:$J$205,'حضور و غیاب'!$B$5:$B$205,$A144,'حضور و غیاب'!$A$5:$A$205,"&gt;="&amp;'تنظیمات'!$B$5,'حضور و غیاب'!$A$5:$A$205,"&lt;="&amp;'تنظیمات'!$B$6)</x:f>
        <x:v>0</x:v>
      </x:c>
      <x:c r="E144" s="20" t="n">
        <x:f>SUMIFS('حضور و غیاب'!$K$5:$K$205,'حضور و غیاب'!$B$5:$B$205,$A144,'حضور و غیاب'!$A$5:$A$205,"&gt;="&amp;'تنظیمات'!$B$5,'حضور و غیاب'!$A$5:$A$205,"&lt;="&amp;'تنظیمات'!$B$6)</x:f>
        <x:v>0</x:v>
      </x:c>
      <x:c r="F144" s="20" t="n">
        <x:f>SUMIFS('حضور و غیاب'!$G$5:$G$205,'حضور و غیاب'!$B$5:$B$205,$A144,'حضور و غیاب'!$F$5:$F$205,"Paid",'حضور و غیاب'!$A$5:$A$205,"&gt;="&amp;'تنظیمات'!$B$5,'حضور و غیاب'!$A$5:$A$205,"&lt;="&amp;'تنظیمات'!$B$6)</x:f>
        <x:v>0</x:v>
      </x:c>
      <x:c r="G144" s="20" t="n">
        <x:f>SUMIFS('حضور و غیاب'!$L$5:$L$205,'حضور و غیاب'!$B$5:$B$205,$A144,'حضور و غیاب'!$A$5:$A$205,"&gt;="&amp;'تنظیمات'!$B$5,'حضور و غیاب'!$A$5:$A$205,"&lt;="&amp;'تنظیمات'!$B$6)</x:f>
        <x:v>0</x:v>
      </x:c>
      <x:c r="H144" s="21" t="n">
        <x:f>ROUND(C144*D144,2)</x:f>
        <x:v>0</x:v>
      </x:c>
      <x:c r="I144" s="21" t="n">
        <x:f>ROUND(C144*E144*'تنظیمات'!$B$7,2)</x:f>
        <x:v>0</x:v>
      </x:c>
      <x:c r="J144" s="21" t="n">
        <x:f>ROUND(C144*F144,2)</x:f>
        <x:v>0</x:v>
      </x:c>
      <x:c r="K144" s="21" t="n">
        <x:f>ROUND((H144+I144+J144)*'تنظیمات'!$B$8,2)</x:f>
        <x:v>0</x:v>
      </x:c>
      <x:c r="L144" s="21" t="n">
        <x:f>SUM(H144:K144)</x:f>
        <x:v>0</x:v>
      </x:c>
      <x:c r="M144" s="21" t="n">
        <x:f>ROUND(MAX(0,L144-'تنظیمات'!$B$9)*'تنظیمات'!$B$10,2)</x:f>
        <x:v>0</x:v>
      </x:c>
      <x:c r="N144" s="21" t="n">
        <x:f>ROUND(MAX(0,L144*12-'تنظیمات'!$B$11)/12*'تنظیمات'!$B$12,2)</x:f>
        <x:v>0</x:v>
      </x:c>
      <x:c r="O144" s="21" t="n">
        <x:f>ROUND(L144*'تنظیمات'!$B$13,2)</x:f>
        <x:v>0</x:v>
      </x:c>
      <x:c r="P144" s="21" t="n">
        <x:f>ROUND((MIN(L144*12,'تنظیمات'!$B$17)*'تنظیمات'!$B$18+MAX(0,MIN(L144*12,'تنظیمات'!$B$19)-'تنظیمات'!$B$17)*'تنظیمات'!$B$20)/12,2)</x:f>
        <x:v>0</x:v>
      </x:c>
      <x:c r="Q144" s="21" t="n">
        <x:f>ROUND(MIN(L144*12,'تنظیمات'!$B$21)*'تنظیمات'!$B$22/12,2)</x:f>
        <x:v>0</x:v>
      </x:c>
      <x:c r="R144" s="21" t="n">
        <x:f>ROUND(MIN('تنظیمات'!$B$16,MAX(0,L144*12-'تنظیمات'!$B$14)*'تنظیمات'!$B$15)/12,2)</x:f>
        <x:v>0</x:v>
      </x:c>
      <x:c r="S144" s="21" t="n">
        <x:f>SUM(M144:R144)</x:f>
        <x:v>0</x:v>
      </x:c>
      <x:c r="T144" s="21" t="n">
        <x:f>L144-S144</x:f>
        <x:v>0</x:v>
      </x:c>
      <x:c r="U144" s="22" t="n">
        <x:f>'تنظیمات'!$B$5</x:f>
        <x:v>46266</x:v>
      </x:c>
      <x:c r="V144" s="22" t="n">
        <x:f>'تنظیمات'!$B$6</x:f>
        <x:v>46295</x:v>
      </x:c>
      <x:c r="W144" s="17" t="str">
        <x:f>IF(AND(A144&lt;&gt;"",T144&gt;=0),"OK","بررسی شود")</x:f>
        <x:v>بررسی شود</x:v>
      </x:c>
    </x:row>
    <x:row r="145">
      <x:c r="A145" s="13"/>
      <x:c r="B145" s="17" t="str">
        <x:f>IFERROR(VLOOKUP(A145,'کارمندان'!$A$5:$H$205,2,FALSE),"")</x:f>
      </x:c>
      <x:c r="C145" s="21" t="str">
        <x:f>IFERROR(VLOOKUP(A145,'کارمندان'!$A$5:$H$205,5,FALSE),0)</x:f>
      </x:c>
      <x:c r="D145" s="20" t="n">
        <x:f>SUMIFS('حضور و غیاب'!$J$5:$J$205,'حضور و غیاب'!$B$5:$B$205,$A145,'حضور و غیاب'!$A$5:$A$205,"&gt;="&amp;'تنظیمات'!$B$5,'حضور و غیاب'!$A$5:$A$205,"&lt;="&amp;'تنظیمات'!$B$6)</x:f>
        <x:v>0</x:v>
      </x:c>
      <x:c r="E145" s="20" t="n">
        <x:f>SUMIFS('حضور و غیاب'!$K$5:$K$205,'حضور و غیاب'!$B$5:$B$205,$A145,'حضور و غیاب'!$A$5:$A$205,"&gt;="&amp;'تنظیمات'!$B$5,'حضور و غیاب'!$A$5:$A$205,"&lt;="&amp;'تنظیمات'!$B$6)</x:f>
        <x:v>0</x:v>
      </x:c>
      <x:c r="F145" s="20" t="n">
        <x:f>SUMIFS('حضور و غیاب'!$G$5:$G$205,'حضور و غیاب'!$B$5:$B$205,$A145,'حضور و غیاب'!$F$5:$F$205,"Paid",'حضور و غیاب'!$A$5:$A$205,"&gt;="&amp;'تنظیمات'!$B$5,'حضور و غیاب'!$A$5:$A$205,"&lt;="&amp;'تنظیمات'!$B$6)</x:f>
        <x:v>0</x:v>
      </x:c>
      <x:c r="G145" s="20" t="n">
        <x:f>SUMIFS('حضور و غیاب'!$L$5:$L$205,'حضور و غیاب'!$B$5:$B$205,$A145,'حضور و غیاب'!$A$5:$A$205,"&gt;="&amp;'تنظیمات'!$B$5,'حضور و غیاب'!$A$5:$A$205,"&lt;="&amp;'تنظیمات'!$B$6)</x:f>
        <x:v>0</x:v>
      </x:c>
      <x:c r="H145" s="21" t="n">
        <x:f>ROUND(C145*D145,2)</x:f>
        <x:v>0</x:v>
      </x:c>
      <x:c r="I145" s="21" t="n">
        <x:f>ROUND(C145*E145*'تنظیمات'!$B$7,2)</x:f>
        <x:v>0</x:v>
      </x:c>
      <x:c r="J145" s="21" t="n">
        <x:f>ROUND(C145*F145,2)</x:f>
        <x:v>0</x:v>
      </x:c>
      <x:c r="K145" s="21" t="n">
        <x:f>ROUND((H145+I145+J145)*'تنظیمات'!$B$8,2)</x:f>
        <x:v>0</x:v>
      </x:c>
      <x:c r="L145" s="21" t="n">
        <x:f>SUM(H145:K145)</x:f>
        <x:v>0</x:v>
      </x:c>
      <x:c r="M145" s="21" t="n">
        <x:f>ROUND(MAX(0,L145-'تنظیمات'!$B$9)*'تنظیمات'!$B$10,2)</x:f>
        <x:v>0</x:v>
      </x:c>
      <x:c r="N145" s="21" t="n">
        <x:f>ROUND(MAX(0,L145*12-'تنظیمات'!$B$11)/12*'تنظیمات'!$B$12,2)</x:f>
        <x:v>0</x:v>
      </x:c>
      <x:c r="O145" s="21" t="n">
        <x:f>ROUND(L145*'تنظیمات'!$B$13,2)</x:f>
        <x:v>0</x:v>
      </x:c>
      <x:c r="P145" s="21" t="n">
        <x:f>ROUND((MIN(L145*12,'تنظیمات'!$B$17)*'تنظیمات'!$B$18+MAX(0,MIN(L145*12,'تنظیمات'!$B$19)-'تنظیمات'!$B$17)*'تنظیمات'!$B$20)/12,2)</x:f>
        <x:v>0</x:v>
      </x:c>
      <x:c r="Q145" s="21" t="n">
        <x:f>ROUND(MIN(L145*12,'تنظیمات'!$B$21)*'تنظیمات'!$B$22/12,2)</x:f>
        <x:v>0</x:v>
      </x:c>
      <x:c r="R145" s="21" t="n">
        <x:f>ROUND(MIN('تنظیمات'!$B$16,MAX(0,L145*12-'تنظیمات'!$B$14)*'تنظیمات'!$B$15)/12,2)</x:f>
        <x:v>0</x:v>
      </x:c>
      <x:c r="S145" s="21" t="n">
        <x:f>SUM(M145:R145)</x:f>
        <x:v>0</x:v>
      </x:c>
      <x:c r="T145" s="21" t="n">
        <x:f>L145-S145</x:f>
        <x:v>0</x:v>
      </x:c>
      <x:c r="U145" s="22" t="n">
        <x:f>'تنظیمات'!$B$5</x:f>
        <x:v>46266</x:v>
      </x:c>
      <x:c r="V145" s="22" t="n">
        <x:f>'تنظیمات'!$B$6</x:f>
        <x:v>46295</x:v>
      </x:c>
      <x:c r="W145" s="17" t="str">
        <x:f>IF(AND(A145&lt;&gt;"",T145&gt;=0),"OK","بررسی شود")</x:f>
        <x:v>بررسی شود</x:v>
      </x:c>
    </x:row>
    <x:row r="146">
      <x:c r="A146" s="13"/>
      <x:c r="B146" s="17" t="str">
        <x:f>IFERROR(VLOOKUP(A146,'کارمندان'!$A$5:$H$205,2,FALSE),"")</x:f>
      </x:c>
      <x:c r="C146" s="21" t="str">
        <x:f>IFERROR(VLOOKUP(A146,'کارمندان'!$A$5:$H$205,5,FALSE),0)</x:f>
      </x:c>
      <x:c r="D146" s="20" t="n">
        <x:f>SUMIFS('حضور و غیاب'!$J$5:$J$205,'حضور و غیاب'!$B$5:$B$205,$A146,'حضور و غیاب'!$A$5:$A$205,"&gt;="&amp;'تنظیمات'!$B$5,'حضور و غیاب'!$A$5:$A$205,"&lt;="&amp;'تنظیمات'!$B$6)</x:f>
        <x:v>0</x:v>
      </x:c>
      <x:c r="E146" s="20" t="n">
        <x:f>SUMIFS('حضور و غیاب'!$K$5:$K$205,'حضور و غیاب'!$B$5:$B$205,$A146,'حضور و غیاب'!$A$5:$A$205,"&gt;="&amp;'تنظیمات'!$B$5,'حضور و غیاب'!$A$5:$A$205,"&lt;="&amp;'تنظیمات'!$B$6)</x:f>
        <x:v>0</x:v>
      </x:c>
      <x:c r="F146" s="20" t="n">
        <x:f>SUMIFS('حضور و غیاب'!$G$5:$G$205,'حضور و غیاب'!$B$5:$B$205,$A146,'حضور و غیاب'!$F$5:$F$205,"Paid",'حضور و غیاب'!$A$5:$A$205,"&gt;="&amp;'تنظیمات'!$B$5,'حضور و غیاب'!$A$5:$A$205,"&lt;="&amp;'تنظیمات'!$B$6)</x:f>
        <x:v>0</x:v>
      </x:c>
      <x:c r="G146" s="20" t="n">
        <x:f>SUMIFS('حضور و غیاب'!$L$5:$L$205,'حضور و غیاب'!$B$5:$B$205,$A146,'حضور و غیاب'!$A$5:$A$205,"&gt;="&amp;'تنظیمات'!$B$5,'حضور و غیاب'!$A$5:$A$205,"&lt;="&amp;'تنظیمات'!$B$6)</x:f>
        <x:v>0</x:v>
      </x:c>
      <x:c r="H146" s="21" t="n">
        <x:f>ROUND(C146*D146,2)</x:f>
        <x:v>0</x:v>
      </x:c>
      <x:c r="I146" s="21" t="n">
        <x:f>ROUND(C146*E146*'تنظیمات'!$B$7,2)</x:f>
        <x:v>0</x:v>
      </x:c>
      <x:c r="J146" s="21" t="n">
        <x:f>ROUND(C146*F146,2)</x:f>
        <x:v>0</x:v>
      </x:c>
      <x:c r="K146" s="21" t="n">
        <x:f>ROUND((H146+I146+J146)*'تنظیمات'!$B$8,2)</x:f>
        <x:v>0</x:v>
      </x:c>
      <x:c r="L146" s="21" t="n">
        <x:f>SUM(H146:K146)</x:f>
        <x:v>0</x:v>
      </x:c>
      <x:c r="M146" s="21" t="n">
        <x:f>ROUND(MAX(0,L146-'تنظیمات'!$B$9)*'تنظیمات'!$B$10,2)</x:f>
        <x:v>0</x:v>
      </x:c>
      <x:c r="N146" s="21" t="n">
        <x:f>ROUND(MAX(0,L146*12-'تنظیمات'!$B$11)/12*'تنظیمات'!$B$12,2)</x:f>
        <x:v>0</x:v>
      </x:c>
      <x:c r="O146" s="21" t="n">
        <x:f>ROUND(L146*'تنظیمات'!$B$13,2)</x:f>
        <x:v>0</x:v>
      </x:c>
      <x:c r="P146" s="21" t="n">
        <x:f>ROUND((MIN(L146*12,'تنظیمات'!$B$17)*'تنظیمات'!$B$18+MAX(0,MIN(L146*12,'تنظیمات'!$B$19)-'تنظیمات'!$B$17)*'تنظیمات'!$B$20)/12,2)</x:f>
        <x:v>0</x:v>
      </x:c>
      <x:c r="Q146" s="21" t="n">
        <x:f>ROUND(MIN(L146*12,'تنظیمات'!$B$21)*'تنظیمات'!$B$22/12,2)</x:f>
        <x:v>0</x:v>
      </x:c>
      <x:c r="R146" s="21" t="n">
        <x:f>ROUND(MIN('تنظیمات'!$B$16,MAX(0,L146*12-'تنظیمات'!$B$14)*'تنظیمات'!$B$15)/12,2)</x:f>
        <x:v>0</x:v>
      </x:c>
      <x:c r="S146" s="21" t="n">
        <x:f>SUM(M146:R146)</x:f>
        <x:v>0</x:v>
      </x:c>
      <x:c r="T146" s="21" t="n">
        <x:f>L146-S146</x:f>
        <x:v>0</x:v>
      </x:c>
      <x:c r="U146" s="22" t="n">
        <x:f>'تنظیمات'!$B$5</x:f>
        <x:v>46266</x:v>
      </x:c>
      <x:c r="V146" s="22" t="n">
        <x:f>'تنظیمات'!$B$6</x:f>
        <x:v>46295</x:v>
      </x:c>
      <x:c r="W146" s="17" t="str">
        <x:f>IF(AND(A146&lt;&gt;"",T146&gt;=0),"OK","بررسی شود")</x:f>
        <x:v>بررسی شود</x:v>
      </x:c>
    </x:row>
    <x:row r="147">
      <x:c r="A147" s="13"/>
      <x:c r="B147" s="17" t="str">
        <x:f>IFERROR(VLOOKUP(A147,'کارمندان'!$A$5:$H$205,2,FALSE),"")</x:f>
      </x:c>
      <x:c r="C147" s="21" t="str">
        <x:f>IFERROR(VLOOKUP(A147,'کارمندان'!$A$5:$H$205,5,FALSE),0)</x:f>
      </x:c>
      <x:c r="D147" s="20" t="n">
        <x:f>SUMIFS('حضور و غیاب'!$J$5:$J$205,'حضور و غیاب'!$B$5:$B$205,$A147,'حضور و غیاب'!$A$5:$A$205,"&gt;="&amp;'تنظیمات'!$B$5,'حضور و غیاب'!$A$5:$A$205,"&lt;="&amp;'تنظیمات'!$B$6)</x:f>
        <x:v>0</x:v>
      </x:c>
      <x:c r="E147" s="20" t="n">
        <x:f>SUMIFS('حضور و غیاب'!$K$5:$K$205,'حضور و غیاب'!$B$5:$B$205,$A147,'حضور و غیاب'!$A$5:$A$205,"&gt;="&amp;'تنظیمات'!$B$5,'حضور و غیاب'!$A$5:$A$205,"&lt;="&amp;'تنظیمات'!$B$6)</x:f>
        <x:v>0</x:v>
      </x:c>
      <x:c r="F147" s="20" t="n">
        <x:f>SUMIFS('حضور و غیاب'!$G$5:$G$205,'حضور و غیاب'!$B$5:$B$205,$A147,'حضور و غیاب'!$F$5:$F$205,"Paid",'حضور و غیاب'!$A$5:$A$205,"&gt;="&amp;'تنظیمات'!$B$5,'حضور و غیاب'!$A$5:$A$205,"&lt;="&amp;'تنظیمات'!$B$6)</x:f>
        <x:v>0</x:v>
      </x:c>
      <x:c r="G147" s="20" t="n">
        <x:f>SUMIFS('حضور و غیاب'!$L$5:$L$205,'حضور و غیاب'!$B$5:$B$205,$A147,'حضور و غیاب'!$A$5:$A$205,"&gt;="&amp;'تنظیمات'!$B$5,'حضور و غیاب'!$A$5:$A$205,"&lt;="&amp;'تنظیمات'!$B$6)</x:f>
        <x:v>0</x:v>
      </x:c>
      <x:c r="H147" s="21" t="n">
        <x:f>ROUND(C147*D147,2)</x:f>
        <x:v>0</x:v>
      </x:c>
      <x:c r="I147" s="21" t="n">
        <x:f>ROUND(C147*E147*'تنظیمات'!$B$7,2)</x:f>
        <x:v>0</x:v>
      </x:c>
      <x:c r="J147" s="21" t="n">
        <x:f>ROUND(C147*F147,2)</x:f>
        <x:v>0</x:v>
      </x:c>
      <x:c r="K147" s="21" t="n">
        <x:f>ROUND((H147+I147+J147)*'تنظیمات'!$B$8,2)</x:f>
        <x:v>0</x:v>
      </x:c>
      <x:c r="L147" s="21" t="n">
        <x:f>SUM(H147:K147)</x:f>
        <x:v>0</x:v>
      </x:c>
      <x:c r="M147" s="21" t="n">
        <x:f>ROUND(MAX(0,L147-'تنظیمات'!$B$9)*'تنظیمات'!$B$10,2)</x:f>
        <x:v>0</x:v>
      </x:c>
      <x:c r="N147" s="21" t="n">
        <x:f>ROUND(MAX(0,L147*12-'تنظیمات'!$B$11)/12*'تنظیمات'!$B$12,2)</x:f>
        <x:v>0</x:v>
      </x:c>
      <x:c r="O147" s="21" t="n">
        <x:f>ROUND(L147*'تنظیمات'!$B$13,2)</x:f>
        <x:v>0</x:v>
      </x:c>
      <x:c r="P147" s="21" t="n">
        <x:f>ROUND((MIN(L147*12,'تنظیمات'!$B$17)*'تنظیمات'!$B$18+MAX(0,MIN(L147*12,'تنظیمات'!$B$19)-'تنظیمات'!$B$17)*'تنظیمات'!$B$20)/12,2)</x:f>
        <x:v>0</x:v>
      </x:c>
      <x:c r="Q147" s="21" t="n">
        <x:f>ROUND(MIN(L147*12,'تنظیمات'!$B$21)*'تنظیمات'!$B$22/12,2)</x:f>
        <x:v>0</x:v>
      </x:c>
      <x:c r="R147" s="21" t="n">
        <x:f>ROUND(MIN('تنظیمات'!$B$16,MAX(0,L147*12-'تنظیمات'!$B$14)*'تنظیمات'!$B$15)/12,2)</x:f>
        <x:v>0</x:v>
      </x:c>
      <x:c r="S147" s="21" t="n">
        <x:f>SUM(M147:R147)</x:f>
        <x:v>0</x:v>
      </x:c>
      <x:c r="T147" s="21" t="n">
        <x:f>L147-S147</x:f>
        <x:v>0</x:v>
      </x:c>
      <x:c r="U147" s="22" t="n">
        <x:f>'تنظیمات'!$B$5</x:f>
        <x:v>46266</x:v>
      </x:c>
      <x:c r="V147" s="22" t="n">
        <x:f>'تنظیمات'!$B$6</x:f>
        <x:v>46295</x:v>
      </x:c>
      <x:c r="W147" s="17" t="str">
        <x:f>IF(AND(A147&lt;&gt;"",T147&gt;=0),"OK","بررسی شود")</x:f>
        <x:v>بررسی شود</x:v>
      </x:c>
    </x:row>
    <x:row r="148">
      <x:c r="A148" s="13"/>
      <x:c r="B148" s="17" t="str">
        <x:f>IFERROR(VLOOKUP(A148,'کارمندان'!$A$5:$H$205,2,FALSE),"")</x:f>
      </x:c>
      <x:c r="C148" s="21" t="str">
        <x:f>IFERROR(VLOOKUP(A148,'کارمندان'!$A$5:$H$205,5,FALSE),0)</x:f>
      </x:c>
      <x:c r="D148" s="20" t="n">
        <x:f>SUMIFS('حضور و غیاب'!$J$5:$J$205,'حضور و غیاب'!$B$5:$B$205,$A148,'حضور و غیاب'!$A$5:$A$205,"&gt;="&amp;'تنظیمات'!$B$5,'حضور و غیاب'!$A$5:$A$205,"&lt;="&amp;'تنظیمات'!$B$6)</x:f>
        <x:v>0</x:v>
      </x:c>
      <x:c r="E148" s="20" t="n">
        <x:f>SUMIFS('حضور و غیاب'!$K$5:$K$205,'حضور و غیاب'!$B$5:$B$205,$A148,'حضور و غیاب'!$A$5:$A$205,"&gt;="&amp;'تنظیمات'!$B$5,'حضور و غیاب'!$A$5:$A$205,"&lt;="&amp;'تنظیمات'!$B$6)</x:f>
        <x:v>0</x:v>
      </x:c>
      <x:c r="F148" s="20" t="n">
        <x:f>SUMIFS('حضور و غیاب'!$G$5:$G$205,'حضور و غیاب'!$B$5:$B$205,$A148,'حضور و غیاب'!$F$5:$F$205,"Paid",'حضور و غیاب'!$A$5:$A$205,"&gt;="&amp;'تنظیمات'!$B$5,'حضور و غیاب'!$A$5:$A$205,"&lt;="&amp;'تنظیمات'!$B$6)</x:f>
        <x:v>0</x:v>
      </x:c>
      <x:c r="G148" s="20" t="n">
        <x:f>SUMIFS('حضور و غیاب'!$L$5:$L$205,'حضور و غیاب'!$B$5:$B$205,$A148,'حضور و غیاب'!$A$5:$A$205,"&gt;="&amp;'تنظیمات'!$B$5,'حضور و غیاب'!$A$5:$A$205,"&lt;="&amp;'تنظیمات'!$B$6)</x:f>
        <x:v>0</x:v>
      </x:c>
      <x:c r="H148" s="21" t="n">
        <x:f>ROUND(C148*D148,2)</x:f>
        <x:v>0</x:v>
      </x:c>
      <x:c r="I148" s="21" t="n">
        <x:f>ROUND(C148*E148*'تنظیمات'!$B$7,2)</x:f>
        <x:v>0</x:v>
      </x:c>
      <x:c r="J148" s="21" t="n">
        <x:f>ROUND(C148*F148,2)</x:f>
        <x:v>0</x:v>
      </x:c>
      <x:c r="K148" s="21" t="n">
        <x:f>ROUND((H148+I148+J148)*'تنظیمات'!$B$8,2)</x:f>
        <x:v>0</x:v>
      </x:c>
      <x:c r="L148" s="21" t="n">
        <x:f>SUM(H148:K148)</x:f>
        <x:v>0</x:v>
      </x:c>
      <x:c r="M148" s="21" t="n">
        <x:f>ROUND(MAX(0,L148-'تنظیمات'!$B$9)*'تنظیمات'!$B$10,2)</x:f>
        <x:v>0</x:v>
      </x:c>
      <x:c r="N148" s="21" t="n">
        <x:f>ROUND(MAX(0,L148*12-'تنظیمات'!$B$11)/12*'تنظیمات'!$B$12,2)</x:f>
        <x:v>0</x:v>
      </x:c>
      <x:c r="O148" s="21" t="n">
        <x:f>ROUND(L148*'تنظیمات'!$B$13,2)</x:f>
        <x:v>0</x:v>
      </x:c>
      <x:c r="P148" s="21" t="n">
        <x:f>ROUND((MIN(L148*12,'تنظیمات'!$B$17)*'تنظیمات'!$B$18+MAX(0,MIN(L148*12,'تنظیمات'!$B$19)-'تنظیمات'!$B$17)*'تنظیمات'!$B$20)/12,2)</x:f>
        <x:v>0</x:v>
      </x:c>
      <x:c r="Q148" s="21" t="n">
        <x:f>ROUND(MIN(L148*12,'تنظیمات'!$B$21)*'تنظیمات'!$B$22/12,2)</x:f>
        <x:v>0</x:v>
      </x:c>
      <x:c r="R148" s="21" t="n">
        <x:f>ROUND(MIN('تنظیمات'!$B$16,MAX(0,L148*12-'تنظیمات'!$B$14)*'تنظیمات'!$B$15)/12,2)</x:f>
        <x:v>0</x:v>
      </x:c>
      <x:c r="S148" s="21" t="n">
        <x:f>SUM(M148:R148)</x:f>
        <x:v>0</x:v>
      </x:c>
      <x:c r="T148" s="21" t="n">
        <x:f>L148-S148</x:f>
        <x:v>0</x:v>
      </x:c>
      <x:c r="U148" s="22" t="n">
        <x:f>'تنظیمات'!$B$5</x:f>
        <x:v>46266</x:v>
      </x:c>
      <x:c r="V148" s="22" t="n">
        <x:f>'تنظیمات'!$B$6</x:f>
        <x:v>46295</x:v>
      </x:c>
      <x:c r="W148" s="17" t="str">
        <x:f>IF(AND(A148&lt;&gt;"",T148&gt;=0),"OK","بررسی شود")</x:f>
        <x:v>بررسی شود</x:v>
      </x:c>
    </x:row>
    <x:row r="149">
      <x:c r="A149" s="13"/>
      <x:c r="B149" s="17" t="str">
        <x:f>IFERROR(VLOOKUP(A149,'کارمندان'!$A$5:$H$205,2,FALSE),"")</x:f>
      </x:c>
      <x:c r="C149" s="21" t="str">
        <x:f>IFERROR(VLOOKUP(A149,'کارمندان'!$A$5:$H$205,5,FALSE),0)</x:f>
      </x:c>
      <x:c r="D149" s="20" t="n">
        <x:f>SUMIFS('حضور و غیاب'!$J$5:$J$205,'حضور و غیاب'!$B$5:$B$205,$A149,'حضور و غیاب'!$A$5:$A$205,"&gt;="&amp;'تنظیمات'!$B$5,'حضور و غیاب'!$A$5:$A$205,"&lt;="&amp;'تنظیمات'!$B$6)</x:f>
        <x:v>0</x:v>
      </x:c>
      <x:c r="E149" s="20" t="n">
        <x:f>SUMIFS('حضور و غیاب'!$K$5:$K$205,'حضور و غیاب'!$B$5:$B$205,$A149,'حضور و غیاب'!$A$5:$A$205,"&gt;="&amp;'تنظیمات'!$B$5,'حضور و غیاب'!$A$5:$A$205,"&lt;="&amp;'تنظیمات'!$B$6)</x:f>
        <x:v>0</x:v>
      </x:c>
      <x:c r="F149" s="20" t="n">
        <x:f>SUMIFS('حضور و غیاب'!$G$5:$G$205,'حضور و غیاب'!$B$5:$B$205,$A149,'حضور و غیاب'!$F$5:$F$205,"Paid",'حضور و غیاب'!$A$5:$A$205,"&gt;="&amp;'تنظیمات'!$B$5,'حضور و غیاب'!$A$5:$A$205,"&lt;="&amp;'تنظیمات'!$B$6)</x:f>
        <x:v>0</x:v>
      </x:c>
      <x:c r="G149" s="20" t="n">
        <x:f>SUMIFS('حضور و غیاب'!$L$5:$L$205,'حضور و غیاب'!$B$5:$B$205,$A149,'حضور و غیاب'!$A$5:$A$205,"&gt;="&amp;'تنظیمات'!$B$5,'حضور و غیاب'!$A$5:$A$205,"&lt;="&amp;'تنظیمات'!$B$6)</x:f>
        <x:v>0</x:v>
      </x:c>
      <x:c r="H149" s="21" t="n">
        <x:f>ROUND(C149*D149,2)</x:f>
        <x:v>0</x:v>
      </x:c>
      <x:c r="I149" s="21" t="n">
        <x:f>ROUND(C149*E149*'تنظیمات'!$B$7,2)</x:f>
        <x:v>0</x:v>
      </x:c>
      <x:c r="J149" s="21" t="n">
        <x:f>ROUND(C149*F149,2)</x:f>
        <x:v>0</x:v>
      </x:c>
      <x:c r="K149" s="21" t="n">
        <x:f>ROUND((H149+I149+J149)*'تنظیمات'!$B$8,2)</x:f>
        <x:v>0</x:v>
      </x:c>
      <x:c r="L149" s="21" t="n">
        <x:f>SUM(H149:K149)</x:f>
        <x:v>0</x:v>
      </x:c>
      <x:c r="M149" s="21" t="n">
        <x:f>ROUND(MAX(0,L149-'تنظیمات'!$B$9)*'تنظیمات'!$B$10,2)</x:f>
        <x:v>0</x:v>
      </x:c>
      <x:c r="N149" s="21" t="n">
        <x:f>ROUND(MAX(0,L149*12-'تنظیمات'!$B$11)/12*'تنظیمات'!$B$12,2)</x:f>
        <x:v>0</x:v>
      </x:c>
      <x:c r="O149" s="21" t="n">
        <x:f>ROUND(L149*'تنظیمات'!$B$13,2)</x:f>
        <x:v>0</x:v>
      </x:c>
      <x:c r="P149" s="21" t="n">
        <x:f>ROUND((MIN(L149*12,'تنظیمات'!$B$17)*'تنظیمات'!$B$18+MAX(0,MIN(L149*12,'تنظیمات'!$B$19)-'تنظیمات'!$B$17)*'تنظیمات'!$B$20)/12,2)</x:f>
        <x:v>0</x:v>
      </x:c>
      <x:c r="Q149" s="21" t="n">
        <x:f>ROUND(MIN(L149*12,'تنظیمات'!$B$21)*'تنظیمات'!$B$22/12,2)</x:f>
        <x:v>0</x:v>
      </x:c>
      <x:c r="R149" s="21" t="n">
        <x:f>ROUND(MIN('تنظیمات'!$B$16,MAX(0,L149*12-'تنظیمات'!$B$14)*'تنظیمات'!$B$15)/12,2)</x:f>
        <x:v>0</x:v>
      </x:c>
      <x:c r="S149" s="21" t="n">
        <x:f>SUM(M149:R149)</x:f>
        <x:v>0</x:v>
      </x:c>
      <x:c r="T149" s="21" t="n">
        <x:f>L149-S149</x:f>
        <x:v>0</x:v>
      </x:c>
      <x:c r="U149" s="22" t="n">
        <x:f>'تنظیمات'!$B$5</x:f>
        <x:v>46266</x:v>
      </x:c>
      <x:c r="V149" s="22" t="n">
        <x:f>'تنظیمات'!$B$6</x:f>
        <x:v>46295</x:v>
      </x:c>
      <x:c r="W149" s="17" t="str">
        <x:f>IF(AND(A149&lt;&gt;"",T149&gt;=0),"OK","بررسی شود")</x:f>
        <x:v>بررسی شود</x:v>
      </x:c>
    </x:row>
    <x:row r="150">
      <x:c r="A150" s="13"/>
      <x:c r="B150" s="17" t="str">
        <x:f>IFERROR(VLOOKUP(A150,'کارمندان'!$A$5:$H$205,2,FALSE),"")</x:f>
      </x:c>
      <x:c r="C150" s="21" t="str">
        <x:f>IFERROR(VLOOKUP(A150,'کارمندان'!$A$5:$H$205,5,FALSE),0)</x:f>
      </x:c>
      <x:c r="D150" s="20" t="n">
        <x:f>SUMIFS('حضور و غیاب'!$J$5:$J$205,'حضور و غیاب'!$B$5:$B$205,$A150,'حضور و غیاب'!$A$5:$A$205,"&gt;="&amp;'تنظیمات'!$B$5,'حضور و غیاب'!$A$5:$A$205,"&lt;="&amp;'تنظیمات'!$B$6)</x:f>
        <x:v>0</x:v>
      </x:c>
      <x:c r="E150" s="20" t="n">
        <x:f>SUMIFS('حضور و غیاب'!$K$5:$K$205,'حضور و غیاب'!$B$5:$B$205,$A150,'حضور و غیاب'!$A$5:$A$205,"&gt;="&amp;'تنظیمات'!$B$5,'حضور و غیاب'!$A$5:$A$205,"&lt;="&amp;'تنظیمات'!$B$6)</x:f>
        <x:v>0</x:v>
      </x:c>
      <x:c r="F150" s="20" t="n">
        <x:f>SUMIFS('حضور و غیاب'!$G$5:$G$205,'حضور و غیاب'!$B$5:$B$205,$A150,'حضور و غیاب'!$F$5:$F$205,"Paid",'حضور و غیاب'!$A$5:$A$205,"&gt;="&amp;'تنظیمات'!$B$5,'حضور و غیاب'!$A$5:$A$205,"&lt;="&amp;'تنظیمات'!$B$6)</x:f>
        <x:v>0</x:v>
      </x:c>
      <x:c r="G150" s="20" t="n">
        <x:f>SUMIFS('حضور و غیاب'!$L$5:$L$205,'حضور و غیاب'!$B$5:$B$205,$A150,'حضور و غیاب'!$A$5:$A$205,"&gt;="&amp;'تنظیمات'!$B$5,'حضور و غیاب'!$A$5:$A$205,"&lt;="&amp;'تنظیمات'!$B$6)</x:f>
        <x:v>0</x:v>
      </x:c>
      <x:c r="H150" s="21" t="n">
        <x:f>ROUND(C150*D150,2)</x:f>
        <x:v>0</x:v>
      </x:c>
      <x:c r="I150" s="21" t="n">
        <x:f>ROUND(C150*E150*'تنظیمات'!$B$7,2)</x:f>
        <x:v>0</x:v>
      </x:c>
      <x:c r="J150" s="21" t="n">
        <x:f>ROUND(C150*F150,2)</x:f>
        <x:v>0</x:v>
      </x:c>
      <x:c r="K150" s="21" t="n">
        <x:f>ROUND((H150+I150+J150)*'تنظیمات'!$B$8,2)</x:f>
        <x:v>0</x:v>
      </x:c>
      <x:c r="L150" s="21" t="n">
        <x:f>SUM(H150:K150)</x:f>
        <x:v>0</x:v>
      </x:c>
      <x:c r="M150" s="21" t="n">
        <x:f>ROUND(MAX(0,L150-'تنظیمات'!$B$9)*'تنظیمات'!$B$10,2)</x:f>
        <x:v>0</x:v>
      </x:c>
      <x:c r="N150" s="21" t="n">
        <x:f>ROUND(MAX(0,L150*12-'تنظیمات'!$B$11)/12*'تنظیمات'!$B$12,2)</x:f>
        <x:v>0</x:v>
      </x:c>
      <x:c r="O150" s="21" t="n">
        <x:f>ROUND(L150*'تنظیمات'!$B$13,2)</x:f>
        <x:v>0</x:v>
      </x:c>
      <x:c r="P150" s="21" t="n">
        <x:f>ROUND((MIN(L150*12,'تنظیمات'!$B$17)*'تنظیمات'!$B$18+MAX(0,MIN(L150*12,'تنظیمات'!$B$19)-'تنظیمات'!$B$17)*'تنظیمات'!$B$20)/12,2)</x:f>
        <x:v>0</x:v>
      </x:c>
      <x:c r="Q150" s="21" t="n">
        <x:f>ROUND(MIN(L150*12,'تنظیمات'!$B$21)*'تنظیمات'!$B$22/12,2)</x:f>
        <x:v>0</x:v>
      </x:c>
      <x:c r="R150" s="21" t="n">
        <x:f>ROUND(MIN('تنظیمات'!$B$16,MAX(0,L150*12-'تنظیمات'!$B$14)*'تنظیمات'!$B$15)/12,2)</x:f>
        <x:v>0</x:v>
      </x:c>
      <x:c r="S150" s="21" t="n">
        <x:f>SUM(M150:R150)</x:f>
        <x:v>0</x:v>
      </x:c>
      <x:c r="T150" s="21" t="n">
        <x:f>L150-S150</x:f>
        <x:v>0</x:v>
      </x:c>
      <x:c r="U150" s="22" t="n">
        <x:f>'تنظیمات'!$B$5</x:f>
        <x:v>46266</x:v>
      </x:c>
      <x:c r="V150" s="22" t="n">
        <x:f>'تنظیمات'!$B$6</x:f>
        <x:v>46295</x:v>
      </x:c>
      <x:c r="W150" s="17" t="str">
        <x:f>IF(AND(A150&lt;&gt;"",T150&gt;=0),"OK","بررسی شود")</x:f>
        <x:v>بررسی شود</x:v>
      </x:c>
    </x:row>
    <x:row r="151">
      <x:c r="A151" s="13"/>
      <x:c r="B151" s="17" t="str">
        <x:f>IFERROR(VLOOKUP(A151,'کارمندان'!$A$5:$H$205,2,FALSE),"")</x:f>
      </x:c>
      <x:c r="C151" s="21" t="str">
        <x:f>IFERROR(VLOOKUP(A151,'کارمندان'!$A$5:$H$205,5,FALSE),0)</x:f>
      </x:c>
      <x:c r="D151" s="20" t="n">
        <x:f>SUMIFS('حضور و غیاب'!$J$5:$J$205,'حضور و غیاب'!$B$5:$B$205,$A151,'حضور و غیاب'!$A$5:$A$205,"&gt;="&amp;'تنظیمات'!$B$5,'حضور و غیاب'!$A$5:$A$205,"&lt;="&amp;'تنظیمات'!$B$6)</x:f>
        <x:v>0</x:v>
      </x:c>
      <x:c r="E151" s="20" t="n">
        <x:f>SUMIFS('حضور و غیاب'!$K$5:$K$205,'حضور و غیاب'!$B$5:$B$205,$A151,'حضور و غیاب'!$A$5:$A$205,"&gt;="&amp;'تنظیمات'!$B$5,'حضور و غیاب'!$A$5:$A$205,"&lt;="&amp;'تنظیمات'!$B$6)</x:f>
        <x:v>0</x:v>
      </x:c>
      <x:c r="F151" s="20" t="n">
        <x:f>SUMIFS('حضور و غیاب'!$G$5:$G$205,'حضور و غیاب'!$B$5:$B$205,$A151,'حضور و غیاب'!$F$5:$F$205,"Paid",'حضور و غیاب'!$A$5:$A$205,"&gt;="&amp;'تنظیمات'!$B$5,'حضور و غیاب'!$A$5:$A$205,"&lt;="&amp;'تنظیمات'!$B$6)</x:f>
        <x:v>0</x:v>
      </x:c>
      <x:c r="G151" s="20" t="n">
        <x:f>SUMIFS('حضور و غیاب'!$L$5:$L$205,'حضور و غیاب'!$B$5:$B$205,$A151,'حضور و غیاب'!$A$5:$A$205,"&gt;="&amp;'تنظیمات'!$B$5,'حضور و غیاب'!$A$5:$A$205,"&lt;="&amp;'تنظیمات'!$B$6)</x:f>
        <x:v>0</x:v>
      </x:c>
      <x:c r="H151" s="21" t="n">
        <x:f>ROUND(C151*D151,2)</x:f>
        <x:v>0</x:v>
      </x:c>
      <x:c r="I151" s="21" t="n">
        <x:f>ROUND(C151*E151*'تنظیمات'!$B$7,2)</x:f>
        <x:v>0</x:v>
      </x:c>
      <x:c r="J151" s="21" t="n">
        <x:f>ROUND(C151*F151,2)</x:f>
        <x:v>0</x:v>
      </x:c>
      <x:c r="K151" s="21" t="n">
        <x:f>ROUND((H151+I151+J151)*'تنظیمات'!$B$8,2)</x:f>
        <x:v>0</x:v>
      </x:c>
      <x:c r="L151" s="21" t="n">
        <x:f>SUM(H151:K151)</x:f>
        <x:v>0</x:v>
      </x:c>
      <x:c r="M151" s="21" t="n">
        <x:f>ROUND(MAX(0,L151-'تنظیمات'!$B$9)*'تنظیمات'!$B$10,2)</x:f>
        <x:v>0</x:v>
      </x:c>
      <x:c r="N151" s="21" t="n">
        <x:f>ROUND(MAX(0,L151*12-'تنظیمات'!$B$11)/12*'تنظیمات'!$B$12,2)</x:f>
        <x:v>0</x:v>
      </x:c>
      <x:c r="O151" s="21" t="n">
        <x:f>ROUND(L151*'تنظیمات'!$B$13,2)</x:f>
        <x:v>0</x:v>
      </x:c>
      <x:c r="P151" s="21" t="n">
        <x:f>ROUND((MIN(L151*12,'تنظیمات'!$B$17)*'تنظیمات'!$B$18+MAX(0,MIN(L151*12,'تنظیمات'!$B$19)-'تنظیمات'!$B$17)*'تنظیمات'!$B$20)/12,2)</x:f>
        <x:v>0</x:v>
      </x:c>
      <x:c r="Q151" s="21" t="n">
        <x:f>ROUND(MIN(L151*12,'تنظیمات'!$B$21)*'تنظیمات'!$B$22/12,2)</x:f>
        <x:v>0</x:v>
      </x:c>
      <x:c r="R151" s="21" t="n">
        <x:f>ROUND(MIN('تنظیمات'!$B$16,MAX(0,L151*12-'تنظیمات'!$B$14)*'تنظیمات'!$B$15)/12,2)</x:f>
        <x:v>0</x:v>
      </x:c>
      <x:c r="S151" s="21" t="n">
        <x:f>SUM(M151:R151)</x:f>
        <x:v>0</x:v>
      </x:c>
      <x:c r="T151" s="21" t="n">
        <x:f>L151-S151</x:f>
        <x:v>0</x:v>
      </x:c>
      <x:c r="U151" s="22" t="n">
        <x:f>'تنظیمات'!$B$5</x:f>
        <x:v>46266</x:v>
      </x:c>
      <x:c r="V151" s="22" t="n">
        <x:f>'تنظیمات'!$B$6</x:f>
        <x:v>46295</x:v>
      </x:c>
      <x:c r="W151" s="17" t="str">
        <x:f>IF(AND(A151&lt;&gt;"",T151&gt;=0),"OK","بررسی شود")</x:f>
        <x:v>بررسی شود</x:v>
      </x:c>
    </x:row>
    <x:row r="152">
      <x:c r="A152" s="13"/>
      <x:c r="B152" s="17" t="str">
        <x:f>IFERROR(VLOOKUP(A152,'کارمندان'!$A$5:$H$205,2,FALSE),"")</x:f>
      </x:c>
      <x:c r="C152" s="21" t="str">
        <x:f>IFERROR(VLOOKUP(A152,'کارمندان'!$A$5:$H$205,5,FALSE),0)</x:f>
      </x:c>
      <x:c r="D152" s="20" t="n">
        <x:f>SUMIFS('حضور و غیاب'!$J$5:$J$205,'حضور و غیاب'!$B$5:$B$205,$A152,'حضور و غیاب'!$A$5:$A$205,"&gt;="&amp;'تنظیمات'!$B$5,'حضور و غیاب'!$A$5:$A$205,"&lt;="&amp;'تنظیمات'!$B$6)</x:f>
        <x:v>0</x:v>
      </x:c>
      <x:c r="E152" s="20" t="n">
        <x:f>SUMIFS('حضور و غیاب'!$K$5:$K$205,'حضور و غیاب'!$B$5:$B$205,$A152,'حضور و غیاب'!$A$5:$A$205,"&gt;="&amp;'تنظیمات'!$B$5,'حضور و غیاب'!$A$5:$A$205,"&lt;="&amp;'تنظیمات'!$B$6)</x:f>
        <x:v>0</x:v>
      </x:c>
      <x:c r="F152" s="20" t="n">
        <x:f>SUMIFS('حضور و غیاب'!$G$5:$G$205,'حضور و غیاب'!$B$5:$B$205,$A152,'حضور و غیاب'!$F$5:$F$205,"Paid",'حضور و غیاب'!$A$5:$A$205,"&gt;="&amp;'تنظیمات'!$B$5,'حضور و غیاب'!$A$5:$A$205,"&lt;="&amp;'تنظیمات'!$B$6)</x:f>
        <x:v>0</x:v>
      </x:c>
      <x:c r="G152" s="20" t="n">
        <x:f>SUMIFS('حضور و غیاب'!$L$5:$L$205,'حضور و غیاب'!$B$5:$B$205,$A152,'حضور و غیاب'!$A$5:$A$205,"&gt;="&amp;'تنظیمات'!$B$5,'حضور و غیاب'!$A$5:$A$205,"&lt;="&amp;'تنظیمات'!$B$6)</x:f>
        <x:v>0</x:v>
      </x:c>
      <x:c r="H152" s="21" t="n">
        <x:f>ROUND(C152*D152,2)</x:f>
        <x:v>0</x:v>
      </x:c>
      <x:c r="I152" s="21" t="n">
        <x:f>ROUND(C152*E152*'تنظیمات'!$B$7,2)</x:f>
        <x:v>0</x:v>
      </x:c>
      <x:c r="J152" s="21" t="n">
        <x:f>ROUND(C152*F152,2)</x:f>
        <x:v>0</x:v>
      </x:c>
      <x:c r="K152" s="21" t="n">
        <x:f>ROUND((H152+I152+J152)*'تنظیمات'!$B$8,2)</x:f>
        <x:v>0</x:v>
      </x:c>
      <x:c r="L152" s="21" t="n">
        <x:f>SUM(H152:K152)</x:f>
        <x:v>0</x:v>
      </x:c>
      <x:c r="M152" s="21" t="n">
        <x:f>ROUND(MAX(0,L152-'تنظیمات'!$B$9)*'تنظیمات'!$B$10,2)</x:f>
        <x:v>0</x:v>
      </x:c>
      <x:c r="N152" s="21" t="n">
        <x:f>ROUND(MAX(0,L152*12-'تنظیمات'!$B$11)/12*'تنظیمات'!$B$12,2)</x:f>
        <x:v>0</x:v>
      </x:c>
      <x:c r="O152" s="21" t="n">
        <x:f>ROUND(L152*'تنظیمات'!$B$13,2)</x:f>
        <x:v>0</x:v>
      </x:c>
      <x:c r="P152" s="21" t="n">
        <x:f>ROUND((MIN(L152*12,'تنظیمات'!$B$17)*'تنظیمات'!$B$18+MAX(0,MIN(L152*12,'تنظیمات'!$B$19)-'تنظیمات'!$B$17)*'تنظیمات'!$B$20)/12,2)</x:f>
        <x:v>0</x:v>
      </x:c>
      <x:c r="Q152" s="21" t="n">
        <x:f>ROUND(MIN(L152*12,'تنظیمات'!$B$21)*'تنظیمات'!$B$22/12,2)</x:f>
        <x:v>0</x:v>
      </x:c>
      <x:c r="R152" s="21" t="n">
        <x:f>ROUND(MIN('تنظیمات'!$B$16,MAX(0,L152*12-'تنظیمات'!$B$14)*'تنظیمات'!$B$15)/12,2)</x:f>
        <x:v>0</x:v>
      </x:c>
      <x:c r="S152" s="21" t="n">
        <x:f>SUM(M152:R152)</x:f>
        <x:v>0</x:v>
      </x:c>
      <x:c r="T152" s="21" t="n">
        <x:f>L152-S152</x:f>
        <x:v>0</x:v>
      </x:c>
      <x:c r="U152" s="22" t="n">
        <x:f>'تنظیمات'!$B$5</x:f>
        <x:v>46266</x:v>
      </x:c>
      <x:c r="V152" s="22" t="n">
        <x:f>'تنظیمات'!$B$6</x:f>
        <x:v>46295</x:v>
      </x:c>
      <x:c r="W152" s="17" t="str">
        <x:f>IF(AND(A152&lt;&gt;"",T152&gt;=0),"OK","بررسی شود")</x:f>
        <x:v>بررسی شود</x:v>
      </x:c>
    </x:row>
    <x:row r="153">
      <x:c r="A153" s="13"/>
      <x:c r="B153" s="17" t="str">
        <x:f>IFERROR(VLOOKUP(A153,'کارمندان'!$A$5:$H$205,2,FALSE),"")</x:f>
      </x:c>
      <x:c r="C153" s="21" t="str">
        <x:f>IFERROR(VLOOKUP(A153,'کارمندان'!$A$5:$H$205,5,FALSE),0)</x:f>
      </x:c>
      <x:c r="D153" s="20" t="n">
        <x:f>SUMIFS('حضور و غیاب'!$J$5:$J$205,'حضور و غیاب'!$B$5:$B$205,$A153,'حضور و غیاب'!$A$5:$A$205,"&gt;="&amp;'تنظیمات'!$B$5,'حضور و غیاب'!$A$5:$A$205,"&lt;="&amp;'تنظیمات'!$B$6)</x:f>
        <x:v>0</x:v>
      </x:c>
      <x:c r="E153" s="20" t="n">
        <x:f>SUMIFS('حضور و غیاب'!$K$5:$K$205,'حضور و غیاب'!$B$5:$B$205,$A153,'حضور و غیاب'!$A$5:$A$205,"&gt;="&amp;'تنظیمات'!$B$5,'حضور و غیاب'!$A$5:$A$205,"&lt;="&amp;'تنظیمات'!$B$6)</x:f>
        <x:v>0</x:v>
      </x:c>
      <x:c r="F153" s="20" t="n">
        <x:f>SUMIFS('حضور و غیاب'!$G$5:$G$205,'حضور و غیاب'!$B$5:$B$205,$A153,'حضور و غیاب'!$F$5:$F$205,"Paid",'حضور و غیاب'!$A$5:$A$205,"&gt;="&amp;'تنظیمات'!$B$5,'حضور و غیاب'!$A$5:$A$205,"&lt;="&amp;'تنظیمات'!$B$6)</x:f>
        <x:v>0</x:v>
      </x:c>
      <x:c r="G153" s="20" t="n">
        <x:f>SUMIFS('حضور و غیاب'!$L$5:$L$205,'حضور و غیاب'!$B$5:$B$205,$A153,'حضور و غیاب'!$A$5:$A$205,"&gt;="&amp;'تنظیمات'!$B$5,'حضور و غیاب'!$A$5:$A$205,"&lt;="&amp;'تنظیمات'!$B$6)</x:f>
        <x:v>0</x:v>
      </x:c>
      <x:c r="H153" s="21" t="n">
        <x:f>ROUND(C153*D153,2)</x:f>
        <x:v>0</x:v>
      </x:c>
      <x:c r="I153" s="21" t="n">
        <x:f>ROUND(C153*E153*'تنظیمات'!$B$7,2)</x:f>
        <x:v>0</x:v>
      </x:c>
      <x:c r="J153" s="21" t="n">
        <x:f>ROUND(C153*F153,2)</x:f>
        <x:v>0</x:v>
      </x:c>
      <x:c r="K153" s="21" t="n">
        <x:f>ROUND((H153+I153+J153)*'تنظیمات'!$B$8,2)</x:f>
        <x:v>0</x:v>
      </x:c>
      <x:c r="L153" s="21" t="n">
        <x:f>SUM(H153:K153)</x:f>
        <x:v>0</x:v>
      </x:c>
      <x:c r="M153" s="21" t="n">
        <x:f>ROUND(MAX(0,L153-'تنظیمات'!$B$9)*'تنظیمات'!$B$10,2)</x:f>
        <x:v>0</x:v>
      </x:c>
      <x:c r="N153" s="21" t="n">
        <x:f>ROUND(MAX(0,L153*12-'تنظیمات'!$B$11)/12*'تنظیمات'!$B$12,2)</x:f>
        <x:v>0</x:v>
      </x:c>
      <x:c r="O153" s="21" t="n">
        <x:f>ROUND(L153*'تنظیمات'!$B$13,2)</x:f>
        <x:v>0</x:v>
      </x:c>
      <x:c r="P153" s="21" t="n">
        <x:f>ROUND((MIN(L153*12,'تنظیمات'!$B$17)*'تنظیمات'!$B$18+MAX(0,MIN(L153*12,'تنظیمات'!$B$19)-'تنظیمات'!$B$17)*'تنظیمات'!$B$20)/12,2)</x:f>
        <x:v>0</x:v>
      </x:c>
      <x:c r="Q153" s="21" t="n">
        <x:f>ROUND(MIN(L153*12,'تنظیمات'!$B$21)*'تنظیمات'!$B$22/12,2)</x:f>
        <x:v>0</x:v>
      </x:c>
      <x:c r="R153" s="21" t="n">
        <x:f>ROUND(MIN('تنظیمات'!$B$16,MAX(0,L153*12-'تنظیمات'!$B$14)*'تنظیمات'!$B$15)/12,2)</x:f>
        <x:v>0</x:v>
      </x:c>
      <x:c r="S153" s="21" t="n">
        <x:f>SUM(M153:R153)</x:f>
        <x:v>0</x:v>
      </x:c>
      <x:c r="T153" s="21" t="n">
        <x:f>L153-S153</x:f>
        <x:v>0</x:v>
      </x:c>
      <x:c r="U153" s="22" t="n">
        <x:f>'تنظیمات'!$B$5</x:f>
        <x:v>46266</x:v>
      </x:c>
      <x:c r="V153" s="22" t="n">
        <x:f>'تنظیمات'!$B$6</x:f>
        <x:v>46295</x:v>
      </x:c>
      <x:c r="W153" s="17" t="str">
        <x:f>IF(AND(A153&lt;&gt;"",T153&gt;=0),"OK","بررسی شود")</x:f>
        <x:v>بررسی شود</x:v>
      </x:c>
    </x:row>
    <x:row r="154">
      <x:c r="A154" s="13"/>
      <x:c r="B154" s="17" t="str">
        <x:f>IFERROR(VLOOKUP(A154,'کارمندان'!$A$5:$H$205,2,FALSE),"")</x:f>
      </x:c>
      <x:c r="C154" s="21" t="str">
        <x:f>IFERROR(VLOOKUP(A154,'کارمندان'!$A$5:$H$205,5,FALSE),0)</x:f>
      </x:c>
      <x:c r="D154" s="20" t="n">
        <x:f>SUMIFS('حضور و غیاب'!$J$5:$J$205,'حضور و غیاب'!$B$5:$B$205,$A154,'حضور و غیاب'!$A$5:$A$205,"&gt;="&amp;'تنظیمات'!$B$5,'حضور و غیاب'!$A$5:$A$205,"&lt;="&amp;'تنظیمات'!$B$6)</x:f>
        <x:v>0</x:v>
      </x:c>
      <x:c r="E154" s="20" t="n">
        <x:f>SUMIFS('حضور و غیاب'!$K$5:$K$205,'حضور و غیاب'!$B$5:$B$205,$A154,'حضور و غیاب'!$A$5:$A$205,"&gt;="&amp;'تنظیمات'!$B$5,'حضور و غیاب'!$A$5:$A$205,"&lt;="&amp;'تنظیمات'!$B$6)</x:f>
        <x:v>0</x:v>
      </x:c>
      <x:c r="F154" s="20" t="n">
        <x:f>SUMIFS('حضور و غیاب'!$G$5:$G$205,'حضور و غیاب'!$B$5:$B$205,$A154,'حضور و غیاب'!$F$5:$F$205,"Paid",'حضور و غیاب'!$A$5:$A$205,"&gt;="&amp;'تنظیمات'!$B$5,'حضور و غیاب'!$A$5:$A$205,"&lt;="&amp;'تنظیمات'!$B$6)</x:f>
        <x:v>0</x:v>
      </x:c>
      <x:c r="G154" s="20" t="n">
        <x:f>SUMIFS('حضور و غیاب'!$L$5:$L$205,'حضور و غیاب'!$B$5:$B$205,$A154,'حضور و غیاب'!$A$5:$A$205,"&gt;="&amp;'تنظیمات'!$B$5,'حضور و غیاب'!$A$5:$A$205,"&lt;="&amp;'تنظیمات'!$B$6)</x:f>
        <x:v>0</x:v>
      </x:c>
      <x:c r="H154" s="21" t="n">
        <x:f>ROUND(C154*D154,2)</x:f>
        <x:v>0</x:v>
      </x:c>
      <x:c r="I154" s="21" t="n">
        <x:f>ROUND(C154*E154*'تنظیمات'!$B$7,2)</x:f>
        <x:v>0</x:v>
      </x:c>
      <x:c r="J154" s="21" t="n">
        <x:f>ROUND(C154*F154,2)</x:f>
        <x:v>0</x:v>
      </x:c>
      <x:c r="K154" s="21" t="n">
        <x:f>ROUND((H154+I154+J154)*'تنظیمات'!$B$8,2)</x:f>
        <x:v>0</x:v>
      </x:c>
      <x:c r="L154" s="21" t="n">
        <x:f>SUM(H154:K154)</x:f>
        <x:v>0</x:v>
      </x:c>
      <x:c r="M154" s="21" t="n">
        <x:f>ROUND(MAX(0,L154-'تنظیمات'!$B$9)*'تنظیمات'!$B$10,2)</x:f>
        <x:v>0</x:v>
      </x:c>
      <x:c r="N154" s="21" t="n">
        <x:f>ROUND(MAX(0,L154*12-'تنظیمات'!$B$11)/12*'تنظیمات'!$B$12,2)</x:f>
        <x:v>0</x:v>
      </x:c>
      <x:c r="O154" s="21" t="n">
        <x:f>ROUND(L154*'تنظیمات'!$B$13,2)</x:f>
        <x:v>0</x:v>
      </x:c>
      <x:c r="P154" s="21" t="n">
        <x:f>ROUND((MIN(L154*12,'تنظیمات'!$B$17)*'تنظیمات'!$B$18+MAX(0,MIN(L154*12,'تنظیمات'!$B$19)-'تنظیمات'!$B$17)*'تنظیمات'!$B$20)/12,2)</x:f>
        <x:v>0</x:v>
      </x:c>
      <x:c r="Q154" s="21" t="n">
        <x:f>ROUND(MIN(L154*12,'تنظیمات'!$B$21)*'تنظیمات'!$B$22/12,2)</x:f>
        <x:v>0</x:v>
      </x:c>
      <x:c r="R154" s="21" t="n">
        <x:f>ROUND(MIN('تنظیمات'!$B$16,MAX(0,L154*12-'تنظیمات'!$B$14)*'تنظیمات'!$B$15)/12,2)</x:f>
        <x:v>0</x:v>
      </x:c>
      <x:c r="S154" s="21" t="n">
        <x:f>SUM(M154:R154)</x:f>
        <x:v>0</x:v>
      </x:c>
      <x:c r="T154" s="21" t="n">
        <x:f>L154-S154</x:f>
        <x:v>0</x:v>
      </x:c>
      <x:c r="U154" s="22" t="n">
        <x:f>'تنظیمات'!$B$5</x:f>
        <x:v>46266</x:v>
      </x:c>
      <x:c r="V154" s="22" t="n">
        <x:f>'تنظیمات'!$B$6</x:f>
        <x:v>46295</x:v>
      </x:c>
      <x:c r="W154" s="17" t="str">
        <x:f>IF(AND(A154&lt;&gt;"",T154&gt;=0),"OK","بررسی شود")</x:f>
        <x:v>بررسی شود</x:v>
      </x:c>
    </x:row>
    <x:row r="155">
      <x:c r="A155" s="13"/>
      <x:c r="B155" s="17" t="str">
        <x:f>IFERROR(VLOOKUP(A155,'کارمندان'!$A$5:$H$205,2,FALSE),"")</x:f>
      </x:c>
      <x:c r="C155" s="21" t="str">
        <x:f>IFERROR(VLOOKUP(A155,'کارمندان'!$A$5:$H$205,5,FALSE),0)</x:f>
      </x:c>
      <x:c r="D155" s="20" t="n">
        <x:f>SUMIFS('حضور و غیاب'!$J$5:$J$205,'حضور و غیاب'!$B$5:$B$205,$A155,'حضور و غیاب'!$A$5:$A$205,"&gt;="&amp;'تنظیمات'!$B$5,'حضور و غیاب'!$A$5:$A$205,"&lt;="&amp;'تنظیمات'!$B$6)</x:f>
        <x:v>0</x:v>
      </x:c>
      <x:c r="E155" s="20" t="n">
        <x:f>SUMIFS('حضور و غیاب'!$K$5:$K$205,'حضور و غیاب'!$B$5:$B$205,$A155,'حضور و غیاب'!$A$5:$A$205,"&gt;="&amp;'تنظیمات'!$B$5,'حضور و غیاب'!$A$5:$A$205,"&lt;="&amp;'تنظیمات'!$B$6)</x:f>
        <x:v>0</x:v>
      </x:c>
      <x:c r="F155" s="20" t="n">
        <x:f>SUMIFS('حضور و غیاب'!$G$5:$G$205,'حضور و غیاب'!$B$5:$B$205,$A155,'حضور و غیاب'!$F$5:$F$205,"Paid",'حضور و غیاب'!$A$5:$A$205,"&gt;="&amp;'تنظیمات'!$B$5,'حضور و غیاب'!$A$5:$A$205,"&lt;="&amp;'تنظیمات'!$B$6)</x:f>
        <x:v>0</x:v>
      </x:c>
      <x:c r="G155" s="20" t="n">
        <x:f>SUMIFS('حضور و غیاب'!$L$5:$L$205,'حضور و غیاب'!$B$5:$B$205,$A155,'حضور و غیاب'!$A$5:$A$205,"&gt;="&amp;'تنظیمات'!$B$5,'حضور و غیاب'!$A$5:$A$205,"&lt;="&amp;'تنظیمات'!$B$6)</x:f>
        <x:v>0</x:v>
      </x:c>
      <x:c r="H155" s="21" t="n">
        <x:f>ROUND(C155*D155,2)</x:f>
        <x:v>0</x:v>
      </x:c>
      <x:c r="I155" s="21" t="n">
        <x:f>ROUND(C155*E155*'تنظیمات'!$B$7,2)</x:f>
        <x:v>0</x:v>
      </x:c>
      <x:c r="J155" s="21" t="n">
        <x:f>ROUND(C155*F155,2)</x:f>
        <x:v>0</x:v>
      </x:c>
      <x:c r="K155" s="21" t="n">
        <x:f>ROUND((H155+I155+J155)*'تنظیمات'!$B$8,2)</x:f>
        <x:v>0</x:v>
      </x:c>
      <x:c r="L155" s="21" t="n">
        <x:f>SUM(H155:K155)</x:f>
        <x:v>0</x:v>
      </x:c>
      <x:c r="M155" s="21" t="n">
        <x:f>ROUND(MAX(0,L155-'تنظیمات'!$B$9)*'تنظیمات'!$B$10,2)</x:f>
        <x:v>0</x:v>
      </x:c>
      <x:c r="N155" s="21" t="n">
        <x:f>ROUND(MAX(0,L155*12-'تنظیمات'!$B$11)/12*'تنظیمات'!$B$12,2)</x:f>
        <x:v>0</x:v>
      </x:c>
      <x:c r="O155" s="21" t="n">
        <x:f>ROUND(L155*'تنظیمات'!$B$13,2)</x:f>
        <x:v>0</x:v>
      </x:c>
      <x:c r="P155" s="21" t="n">
        <x:f>ROUND((MIN(L155*12,'تنظیمات'!$B$17)*'تنظیمات'!$B$18+MAX(0,MIN(L155*12,'تنظیمات'!$B$19)-'تنظیمات'!$B$17)*'تنظیمات'!$B$20)/12,2)</x:f>
        <x:v>0</x:v>
      </x:c>
      <x:c r="Q155" s="21" t="n">
        <x:f>ROUND(MIN(L155*12,'تنظیمات'!$B$21)*'تنظیمات'!$B$22/12,2)</x:f>
        <x:v>0</x:v>
      </x:c>
      <x:c r="R155" s="21" t="n">
        <x:f>ROUND(MIN('تنظیمات'!$B$16,MAX(0,L155*12-'تنظیمات'!$B$14)*'تنظیمات'!$B$15)/12,2)</x:f>
        <x:v>0</x:v>
      </x:c>
      <x:c r="S155" s="21" t="n">
        <x:f>SUM(M155:R155)</x:f>
        <x:v>0</x:v>
      </x:c>
      <x:c r="T155" s="21" t="n">
        <x:f>L155-S155</x:f>
        <x:v>0</x:v>
      </x:c>
      <x:c r="U155" s="22" t="n">
        <x:f>'تنظیمات'!$B$5</x:f>
        <x:v>46266</x:v>
      </x:c>
      <x:c r="V155" s="22" t="n">
        <x:f>'تنظیمات'!$B$6</x:f>
        <x:v>46295</x:v>
      </x:c>
      <x:c r="W155" s="17" t="str">
        <x:f>IF(AND(A155&lt;&gt;"",T155&gt;=0),"OK","بررسی شود")</x:f>
        <x:v>بررسی شود</x:v>
      </x:c>
    </x:row>
    <x:row r="156">
      <x:c r="A156" s="13"/>
      <x:c r="B156" s="17" t="str">
        <x:f>IFERROR(VLOOKUP(A156,'کارمندان'!$A$5:$H$205,2,FALSE),"")</x:f>
      </x:c>
      <x:c r="C156" s="21" t="str">
        <x:f>IFERROR(VLOOKUP(A156,'کارمندان'!$A$5:$H$205,5,FALSE),0)</x:f>
      </x:c>
      <x:c r="D156" s="20" t="n">
        <x:f>SUMIFS('حضور و غیاب'!$J$5:$J$205,'حضور و غیاب'!$B$5:$B$205,$A156,'حضور و غیاب'!$A$5:$A$205,"&gt;="&amp;'تنظیمات'!$B$5,'حضور و غیاب'!$A$5:$A$205,"&lt;="&amp;'تنظیمات'!$B$6)</x:f>
        <x:v>0</x:v>
      </x:c>
      <x:c r="E156" s="20" t="n">
        <x:f>SUMIFS('حضور و غیاب'!$K$5:$K$205,'حضور و غیاب'!$B$5:$B$205,$A156,'حضور و غیاب'!$A$5:$A$205,"&gt;="&amp;'تنظیمات'!$B$5,'حضور و غیاب'!$A$5:$A$205,"&lt;="&amp;'تنظیمات'!$B$6)</x:f>
        <x:v>0</x:v>
      </x:c>
      <x:c r="F156" s="20" t="n">
        <x:f>SUMIFS('حضور و غیاب'!$G$5:$G$205,'حضور و غیاب'!$B$5:$B$205,$A156,'حضور و غیاب'!$F$5:$F$205,"Paid",'حضور و غیاب'!$A$5:$A$205,"&gt;="&amp;'تنظیمات'!$B$5,'حضور و غیاب'!$A$5:$A$205,"&lt;="&amp;'تنظیمات'!$B$6)</x:f>
        <x:v>0</x:v>
      </x:c>
      <x:c r="G156" s="20" t="n">
        <x:f>SUMIFS('حضور و غیاب'!$L$5:$L$205,'حضور و غیاب'!$B$5:$B$205,$A156,'حضور و غیاب'!$A$5:$A$205,"&gt;="&amp;'تنظیمات'!$B$5,'حضور و غیاب'!$A$5:$A$205,"&lt;="&amp;'تنظیمات'!$B$6)</x:f>
        <x:v>0</x:v>
      </x:c>
      <x:c r="H156" s="21" t="n">
        <x:f>ROUND(C156*D156,2)</x:f>
        <x:v>0</x:v>
      </x:c>
      <x:c r="I156" s="21" t="n">
        <x:f>ROUND(C156*E156*'تنظیمات'!$B$7,2)</x:f>
        <x:v>0</x:v>
      </x:c>
      <x:c r="J156" s="21" t="n">
        <x:f>ROUND(C156*F156,2)</x:f>
        <x:v>0</x:v>
      </x:c>
      <x:c r="K156" s="21" t="n">
        <x:f>ROUND((H156+I156+J156)*'تنظیمات'!$B$8,2)</x:f>
        <x:v>0</x:v>
      </x:c>
      <x:c r="L156" s="21" t="n">
        <x:f>SUM(H156:K156)</x:f>
        <x:v>0</x:v>
      </x:c>
      <x:c r="M156" s="21" t="n">
        <x:f>ROUND(MAX(0,L156-'تنظیمات'!$B$9)*'تنظیمات'!$B$10,2)</x:f>
        <x:v>0</x:v>
      </x:c>
      <x:c r="N156" s="21" t="n">
        <x:f>ROUND(MAX(0,L156*12-'تنظیمات'!$B$11)/12*'تنظیمات'!$B$12,2)</x:f>
        <x:v>0</x:v>
      </x:c>
      <x:c r="O156" s="21" t="n">
        <x:f>ROUND(L156*'تنظیمات'!$B$13,2)</x:f>
        <x:v>0</x:v>
      </x:c>
      <x:c r="P156" s="21" t="n">
        <x:f>ROUND((MIN(L156*12,'تنظیمات'!$B$17)*'تنظیمات'!$B$18+MAX(0,MIN(L156*12,'تنظیمات'!$B$19)-'تنظیمات'!$B$17)*'تنظیمات'!$B$20)/12,2)</x:f>
        <x:v>0</x:v>
      </x:c>
      <x:c r="Q156" s="21" t="n">
        <x:f>ROUND(MIN(L156*12,'تنظیمات'!$B$21)*'تنظیمات'!$B$22/12,2)</x:f>
        <x:v>0</x:v>
      </x:c>
      <x:c r="R156" s="21" t="n">
        <x:f>ROUND(MIN('تنظیمات'!$B$16,MAX(0,L156*12-'تنظیمات'!$B$14)*'تنظیمات'!$B$15)/12,2)</x:f>
        <x:v>0</x:v>
      </x:c>
      <x:c r="S156" s="21" t="n">
        <x:f>SUM(M156:R156)</x:f>
        <x:v>0</x:v>
      </x:c>
      <x:c r="T156" s="21" t="n">
        <x:f>L156-S156</x:f>
        <x:v>0</x:v>
      </x:c>
      <x:c r="U156" s="22" t="n">
        <x:f>'تنظیمات'!$B$5</x:f>
        <x:v>46266</x:v>
      </x:c>
      <x:c r="V156" s="22" t="n">
        <x:f>'تنظیمات'!$B$6</x:f>
        <x:v>46295</x:v>
      </x:c>
      <x:c r="W156" s="17" t="str">
        <x:f>IF(AND(A156&lt;&gt;"",T156&gt;=0),"OK","بررسی شود")</x:f>
        <x:v>بررسی شود</x:v>
      </x:c>
    </x:row>
    <x:row r="157">
      <x:c r="A157" s="13"/>
      <x:c r="B157" s="17" t="str">
        <x:f>IFERROR(VLOOKUP(A157,'کارمندان'!$A$5:$H$205,2,FALSE),"")</x:f>
      </x:c>
      <x:c r="C157" s="21" t="str">
        <x:f>IFERROR(VLOOKUP(A157,'کارمندان'!$A$5:$H$205,5,FALSE),0)</x:f>
      </x:c>
      <x:c r="D157" s="20" t="n">
        <x:f>SUMIFS('حضور و غیاب'!$J$5:$J$205,'حضور و غیاب'!$B$5:$B$205,$A157,'حضور و غیاب'!$A$5:$A$205,"&gt;="&amp;'تنظیمات'!$B$5,'حضور و غیاب'!$A$5:$A$205,"&lt;="&amp;'تنظیمات'!$B$6)</x:f>
        <x:v>0</x:v>
      </x:c>
      <x:c r="E157" s="20" t="n">
        <x:f>SUMIFS('حضور و غیاب'!$K$5:$K$205,'حضور و غیاب'!$B$5:$B$205,$A157,'حضور و غیاب'!$A$5:$A$205,"&gt;="&amp;'تنظیمات'!$B$5,'حضور و غیاب'!$A$5:$A$205,"&lt;="&amp;'تنظیمات'!$B$6)</x:f>
        <x:v>0</x:v>
      </x:c>
      <x:c r="F157" s="20" t="n">
        <x:f>SUMIFS('حضور و غیاب'!$G$5:$G$205,'حضور و غیاب'!$B$5:$B$205,$A157,'حضور و غیاب'!$F$5:$F$205,"Paid",'حضور و غیاب'!$A$5:$A$205,"&gt;="&amp;'تنظیمات'!$B$5,'حضور و غیاب'!$A$5:$A$205,"&lt;="&amp;'تنظیمات'!$B$6)</x:f>
        <x:v>0</x:v>
      </x:c>
      <x:c r="G157" s="20" t="n">
        <x:f>SUMIFS('حضور و غیاب'!$L$5:$L$205,'حضور و غیاب'!$B$5:$B$205,$A157,'حضور و غیاب'!$A$5:$A$205,"&gt;="&amp;'تنظیمات'!$B$5,'حضور و غیاب'!$A$5:$A$205,"&lt;="&amp;'تنظیمات'!$B$6)</x:f>
        <x:v>0</x:v>
      </x:c>
      <x:c r="H157" s="21" t="n">
        <x:f>ROUND(C157*D157,2)</x:f>
        <x:v>0</x:v>
      </x:c>
      <x:c r="I157" s="21" t="n">
        <x:f>ROUND(C157*E157*'تنظیمات'!$B$7,2)</x:f>
        <x:v>0</x:v>
      </x:c>
      <x:c r="J157" s="21" t="n">
        <x:f>ROUND(C157*F157,2)</x:f>
        <x:v>0</x:v>
      </x:c>
      <x:c r="K157" s="21" t="n">
        <x:f>ROUND((H157+I157+J157)*'تنظیمات'!$B$8,2)</x:f>
        <x:v>0</x:v>
      </x:c>
      <x:c r="L157" s="21" t="n">
        <x:f>SUM(H157:K157)</x:f>
        <x:v>0</x:v>
      </x:c>
      <x:c r="M157" s="21" t="n">
        <x:f>ROUND(MAX(0,L157-'تنظیمات'!$B$9)*'تنظیمات'!$B$10,2)</x:f>
        <x:v>0</x:v>
      </x:c>
      <x:c r="N157" s="21" t="n">
        <x:f>ROUND(MAX(0,L157*12-'تنظیمات'!$B$11)/12*'تنظیمات'!$B$12,2)</x:f>
        <x:v>0</x:v>
      </x:c>
      <x:c r="O157" s="21" t="n">
        <x:f>ROUND(L157*'تنظیمات'!$B$13,2)</x:f>
        <x:v>0</x:v>
      </x:c>
      <x:c r="P157" s="21" t="n">
        <x:f>ROUND((MIN(L157*12,'تنظیمات'!$B$17)*'تنظیمات'!$B$18+MAX(0,MIN(L157*12,'تنظیمات'!$B$19)-'تنظیمات'!$B$17)*'تنظیمات'!$B$20)/12,2)</x:f>
        <x:v>0</x:v>
      </x:c>
      <x:c r="Q157" s="21" t="n">
        <x:f>ROUND(MIN(L157*12,'تنظیمات'!$B$21)*'تنظیمات'!$B$22/12,2)</x:f>
        <x:v>0</x:v>
      </x:c>
      <x:c r="R157" s="21" t="n">
        <x:f>ROUND(MIN('تنظیمات'!$B$16,MAX(0,L157*12-'تنظیمات'!$B$14)*'تنظیمات'!$B$15)/12,2)</x:f>
        <x:v>0</x:v>
      </x:c>
      <x:c r="S157" s="21" t="n">
        <x:f>SUM(M157:R157)</x:f>
        <x:v>0</x:v>
      </x:c>
      <x:c r="T157" s="21" t="n">
        <x:f>L157-S157</x:f>
        <x:v>0</x:v>
      </x:c>
      <x:c r="U157" s="22" t="n">
        <x:f>'تنظیمات'!$B$5</x:f>
        <x:v>46266</x:v>
      </x:c>
      <x:c r="V157" s="22" t="n">
        <x:f>'تنظیمات'!$B$6</x:f>
        <x:v>46295</x:v>
      </x:c>
      <x:c r="W157" s="17" t="str">
        <x:f>IF(AND(A157&lt;&gt;"",T157&gt;=0),"OK","بررسی شود")</x:f>
        <x:v>بررسی شود</x:v>
      </x:c>
    </x:row>
    <x:row r="158">
      <x:c r="A158" s="13"/>
      <x:c r="B158" s="17" t="str">
        <x:f>IFERROR(VLOOKUP(A158,'کارمندان'!$A$5:$H$205,2,FALSE),"")</x:f>
      </x:c>
      <x:c r="C158" s="21" t="str">
        <x:f>IFERROR(VLOOKUP(A158,'کارمندان'!$A$5:$H$205,5,FALSE),0)</x:f>
      </x:c>
      <x:c r="D158" s="20" t="n">
        <x:f>SUMIFS('حضور و غیاب'!$J$5:$J$205,'حضور و غیاب'!$B$5:$B$205,$A158,'حضور و غیاب'!$A$5:$A$205,"&gt;="&amp;'تنظیمات'!$B$5,'حضور و غیاب'!$A$5:$A$205,"&lt;="&amp;'تنظیمات'!$B$6)</x:f>
        <x:v>0</x:v>
      </x:c>
      <x:c r="E158" s="20" t="n">
        <x:f>SUMIFS('حضور و غیاب'!$K$5:$K$205,'حضور و غیاب'!$B$5:$B$205,$A158,'حضور و غیاب'!$A$5:$A$205,"&gt;="&amp;'تنظیمات'!$B$5,'حضور و غیاب'!$A$5:$A$205,"&lt;="&amp;'تنظیمات'!$B$6)</x:f>
        <x:v>0</x:v>
      </x:c>
      <x:c r="F158" s="20" t="n">
        <x:f>SUMIFS('حضور و غیاب'!$G$5:$G$205,'حضور و غیاب'!$B$5:$B$205,$A158,'حضور و غیاب'!$F$5:$F$205,"Paid",'حضور و غیاب'!$A$5:$A$205,"&gt;="&amp;'تنظیمات'!$B$5,'حضور و غیاب'!$A$5:$A$205,"&lt;="&amp;'تنظیمات'!$B$6)</x:f>
        <x:v>0</x:v>
      </x:c>
      <x:c r="G158" s="20" t="n">
        <x:f>SUMIFS('حضور و غیاب'!$L$5:$L$205,'حضور و غیاب'!$B$5:$B$205,$A158,'حضور و غیاب'!$A$5:$A$205,"&gt;="&amp;'تنظیمات'!$B$5,'حضور و غیاب'!$A$5:$A$205,"&lt;="&amp;'تنظیمات'!$B$6)</x:f>
        <x:v>0</x:v>
      </x:c>
      <x:c r="H158" s="21" t="n">
        <x:f>ROUND(C158*D158,2)</x:f>
        <x:v>0</x:v>
      </x:c>
      <x:c r="I158" s="21" t="n">
        <x:f>ROUND(C158*E158*'تنظیمات'!$B$7,2)</x:f>
        <x:v>0</x:v>
      </x:c>
      <x:c r="J158" s="21" t="n">
        <x:f>ROUND(C158*F158,2)</x:f>
        <x:v>0</x:v>
      </x:c>
      <x:c r="K158" s="21" t="n">
        <x:f>ROUND((H158+I158+J158)*'تنظیمات'!$B$8,2)</x:f>
        <x:v>0</x:v>
      </x:c>
      <x:c r="L158" s="21" t="n">
        <x:f>SUM(H158:K158)</x:f>
        <x:v>0</x:v>
      </x:c>
      <x:c r="M158" s="21" t="n">
        <x:f>ROUND(MAX(0,L158-'تنظیمات'!$B$9)*'تنظیمات'!$B$10,2)</x:f>
        <x:v>0</x:v>
      </x:c>
      <x:c r="N158" s="21" t="n">
        <x:f>ROUND(MAX(0,L158*12-'تنظیمات'!$B$11)/12*'تنظیمات'!$B$12,2)</x:f>
        <x:v>0</x:v>
      </x:c>
      <x:c r="O158" s="21" t="n">
        <x:f>ROUND(L158*'تنظیمات'!$B$13,2)</x:f>
        <x:v>0</x:v>
      </x:c>
      <x:c r="P158" s="21" t="n">
        <x:f>ROUND((MIN(L158*12,'تنظیمات'!$B$17)*'تنظیمات'!$B$18+MAX(0,MIN(L158*12,'تنظیمات'!$B$19)-'تنظیمات'!$B$17)*'تنظیمات'!$B$20)/12,2)</x:f>
        <x:v>0</x:v>
      </x:c>
      <x:c r="Q158" s="21" t="n">
        <x:f>ROUND(MIN(L158*12,'تنظیمات'!$B$21)*'تنظیمات'!$B$22/12,2)</x:f>
        <x:v>0</x:v>
      </x:c>
      <x:c r="R158" s="21" t="n">
        <x:f>ROUND(MIN('تنظیمات'!$B$16,MAX(0,L158*12-'تنظیمات'!$B$14)*'تنظیمات'!$B$15)/12,2)</x:f>
        <x:v>0</x:v>
      </x:c>
      <x:c r="S158" s="21" t="n">
        <x:f>SUM(M158:R158)</x:f>
        <x:v>0</x:v>
      </x:c>
      <x:c r="T158" s="21" t="n">
        <x:f>L158-S158</x:f>
        <x:v>0</x:v>
      </x:c>
      <x:c r="U158" s="22" t="n">
        <x:f>'تنظیمات'!$B$5</x:f>
        <x:v>46266</x:v>
      </x:c>
      <x:c r="V158" s="22" t="n">
        <x:f>'تنظیمات'!$B$6</x:f>
        <x:v>46295</x:v>
      </x:c>
      <x:c r="W158" s="17" t="str">
        <x:f>IF(AND(A158&lt;&gt;"",T158&gt;=0),"OK","بررسی شود")</x:f>
        <x:v>بررسی شود</x:v>
      </x:c>
    </x:row>
    <x:row r="159">
      <x:c r="A159" s="13"/>
      <x:c r="B159" s="17" t="str">
        <x:f>IFERROR(VLOOKUP(A159,'کارمندان'!$A$5:$H$205,2,FALSE),"")</x:f>
      </x:c>
      <x:c r="C159" s="21" t="str">
        <x:f>IFERROR(VLOOKUP(A159,'کارمندان'!$A$5:$H$205,5,FALSE),0)</x:f>
      </x:c>
      <x:c r="D159" s="20" t="n">
        <x:f>SUMIFS('حضور و غیاب'!$J$5:$J$205,'حضور و غیاب'!$B$5:$B$205,$A159,'حضور و غیاب'!$A$5:$A$205,"&gt;="&amp;'تنظیمات'!$B$5,'حضور و غیاب'!$A$5:$A$205,"&lt;="&amp;'تنظیمات'!$B$6)</x:f>
        <x:v>0</x:v>
      </x:c>
      <x:c r="E159" s="20" t="n">
        <x:f>SUMIFS('حضور و غیاب'!$K$5:$K$205,'حضور و غیاب'!$B$5:$B$205,$A159,'حضور و غیاب'!$A$5:$A$205,"&gt;="&amp;'تنظیمات'!$B$5,'حضور و غیاب'!$A$5:$A$205,"&lt;="&amp;'تنظیمات'!$B$6)</x:f>
        <x:v>0</x:v>
      </x:c>
      <x:c r="F159" s="20" t="n">
        <x:f>SUMIFS('حضور و غیاب'!$G$5:$G$205,'حضور و غیاب'!$B$5:$B$205,$A159,'حضور و غیاب'!$F$5:$F$205,"Paid",'حضور و غیاب'!$A$5:$A$205,"&gt;="&amp;'تنظیمات'!$B$5,'حضور و غیاب'!$A$5:$A$205,"&lt;="&amp;'تنظیمات'!$B$6)</x:f>
        <x:v>0</x:v>
      </x:c>
      <x:c r="G159" s="20" t="n">
        <x:f>SUMIFS('حضور و غیاب'!$L$5:$L$205,'حضور و غیاب'!$B$5:$B$205,$A159,'حضور و غیاب'!$A$5:$A$205,"&gt;="&amp;'تنظیمات'!$B$5,'حضور و غیاب'!$A$5:$A$205,"&lt;="&amp;'تنظیمات'!$B$6)</x:f>
        <x:v>0</x:v>
      </x:c>
      <x:c r="H159" s="21" t="n">
        <x:f>ROUND(C159*D159,2)</x:f>
        <x:v>0</x:v>
      </x:c>
      <x:c r="I159" s="21" t="n">
        <x:f>ROUND(C159*E159*'تنظیمات'!$B$7,2)</x:f>
        <x:v>0</x:v>
      </x:c>
      <x:c r="J159" s="21" t="n">
        <x:f>ROUND(C159*F159,2)</x:f>
        <x:v>0</x:v>
      </x:c>
      <x:c r="K159" s="21" t="n">
        <x:f>ROUND((H159+I159+J159)*'تنظیمات'!$B$8,2)</x:f>
        <x:v>0</x:v>
      </x:c>
      <x:c r="L159" s="21" t="n">
        <x:f>SUM(H159:K159)</x:f>
        <x:v>0</x:v>
      </x:c>
      <x:c r="M159" s="21" t="n">
        <x:f>ROUND(MAX(0,L159-'تنظیمات'!$B$9)*'تنظیمات'!$B$10,2)</x:f>
        <x:v>0</x:v>
      </x:c>
      <x:c r="N159" s="21" t="n">
        <x:f>ROUND(MAX(0,L159*12-'تنظیمات'!$B$11)/12*'تنظیمات'!$B$12,2)</x:f>
        <x:v>0</x:v>
      </x:c>
      <x:c r="O159" s="21" t="n">
        <x:f>ROUND(L159*'تنظیمات'!$B$13,2)</x:f>
        <x:v>0</x:v>
      </x:c>
      <x:c r="P159" s="21" t="n">
        <x:f>ROUND((MIN(L159*12,'تنظیمات'!$B$17)*'تنظیمات'!$B$18+MAX(0,MIN(L159*12,'تنظیمات'!$B$19)-'تنظیمات'!$B$17)*'تنظیمات'!$B$20)/12,2)</x:f>
        <x:v>0</x:v>
      </x:c>
      <x:c r="Q159" s="21" t="n">
        <x:f>ROUND(MIN(L159*12,'تنظیمات'!$B$21)*'تنظیمات'!$B$22/12,2)</x:f>
        <x:v>0</x:v>
      </x:c>
      <x:c r="R159" s="21" t="n">
        <x:f>ROUND(MIN('تنظیمات'!$B$16,MAX(0,L159*12-'تنظیمات'!$B$14)*'تنظیمات'!$B$15)/12,2)</x:f>
        <x:v>0</x:v>
      </x:c>
      <x:c r="S159" s="21" t="n">
        <x:f>SUM(M159:R159)</x:f>
        <x:v>0</x:v>
      </x:c>
      <x:c r="T159" s="21" t="n">
        <x:f>L159-S159</x:f>
        <x:v>0</x:v>
      </x:c>
      <x:c r="U159" s="22" t="n">
        <x:f>'تنظیمات'!$B$5</x:f>
        <x:v>46266</x:v>
      </x:c>
      <x:c r="V159" s="22" t="n">
        <x:f>'تنظیمات'!$B$6</x:f>
        <x:v>46295</x:v>
      </x:c>
      <x:c r="W159" s="17" t="str">
        <x:f>IF(AND(A159&lt;&gt;"",T159&gt;=0),"OK","بررسی شود")</x:f>
        <x:v>بررسی شود</x:v>
      </x:c>
    </x:row>
    <x:row r="160">
      <x:c r="A160" s="13"/>
      <x:c r="B160" s="17" t="str">
        <x:f>IFERROR(VLOOKUP(A160,'کارمندان'!$A$5:$H$205,2,FALSE),"")</x:f>
      </x:c>
      <x:c r="C160" s="21" t="str">
        <x:f>IFERROR(VLOOKUP(A160,'کارمندان'!$A$5:$H$205,5,FALSE),0)</x:f>
      </x:c>
      <x:c r="D160" s="20" t="n">
        <x:f>SUMIFS('حضور و غیاب'!$J$5:$J$205,'حضور و غیاب'!$B$5:$B$205,$A160,'حضور و غیاب'!$A$5:$A$205,"&gt;="&amp;'تنظیمات'!$B$5,'حضور و غیاب'!$A$5:$A$205,"&lt;="&amp;'تنظیمات'!$B$6)</x:f>
        <x:v>0</x:v>
      </x:c>
      <x:c r="E160" s="20" t="n">
        <x:f>SUMIFS('حضور و غیاب'!$K$5:$K$205,'حضور و غیاب'!$B$5:$B$205,$A160,'حضور و غیاب'!$A$5:$A$205,"&gt;="&amp;'تنظیمات'!$B$5,'حضور و غیاب'!$A$5:$A$205,"&lt;="&amp;'تنظیمات'!$B$6)</x:f>
        <x:v>0</x:v>
      </x:c>
      <x:c r="F160" s="20" t="n">
        <x:f>SUMIFS('حضور و غیاب'!$G$5:$G$205,'حضور و غیاب'!$B$5:$B$205,$A160,'حضور و غیاب'!$F$5:$F$205,"Paid",'حضور و غیاب'!$A$5:$A$205,"&gt;="&amp;'تنظیمات'!$B$5,'حضور و غیاب'!$A$5:$A$205,"&lt;="&amp;'تنظیمات'!$B$6)</x:f>
        <x:v>0</x:v>
      </x:c>
      <x:c r="G160" s="20" t="n">
        <x:f>SUMIFS('حضور و غیاب'!$L$5:$L$205,'حضور و غیاب'!$B$5:$B$205,$A160,'حضور و غیاب'!$A$5:$A$205,"&gt;="&amp;'تنظیمات'!$B$5,'حضور و غیاب'!$A$5:$A$205,"&lt;="&amp;'تنظیمات'!$B$6)</x:f>
        <x:v>0</x:v>
      </x:c>
      <x:c r="H160" s="21" t="n">
        <x:f>ROUND(C160*D160,2)</x:f>
        <x:v>0</x:v>
      </x:c>
      <x:c r="I160" s="21" t="n">
        <x:f>ROUND(C160*E160*'تنظیمات'!$B$7,2)</x:f>
        <x:v>0</x:v>
      </x:c>
      <x:c r="J160" s="21" t="n">
        <x:f>ROUND(C160*F160,2)</x:f>
        <x:v>0</x:v>
      </x:c>
      <x:c r="K160" s="21" t="n">
        <x:f>ROUND((H160+I160+J160)*'تنظیمات'!$B$8,2)</x:f>
        <x:v>0</x:v>
      </x:c>
      <x:c r="L160" s="21" t="n">
        <x:f>SUM(H160:K160)</x:f>
        <x:v>0</x:v>
      </x:c>
      <x:c r="M160" s="21" t="n">
        <x:f>ROUND(MAX(0,L160-'تنظیمات'!$B$9)*'تنظیمات'!$B$10,2)</x:f>
        <x:v>0</x:v>
      </x:c>
      <x:c r="N160" s="21" t="n">
        <x:f>ROUND(MAX(0,L160*12-'تنظیمات'!$B$11)/12*'تنظیمات'!$B$12,2)</x:f>
        <x:v>0</x:v>
      </x:c>
      <x:c r="O160" s="21" t="n">
        <x:f>ROUND(L160*'تنظیمات'!$B$13,2)</x:f>
        <x:v>0</x:v>
      </x:c>
      <x:c r="P160" s="21" t="n">
        <x:f>ROUND((MIN(L160*12,'تنظیمات'!$B$17)*'تنظیمات'!$B$18+MAX(0,MIN(L160*12,'تنظیمات'!$B$19)-'تنظیمات'!$B$17)*'تنظیمات'!$B$20)/12,2)</x:f>
        <x:v>0</x:v>
      </x:c>
      <x:c r="Q160" s="21" t="n">
        <x:f>ROUND(MIN(L160*12,'تنظیمات'!$B$21)*'تنظیمات'!$B$22/12,2)</x:f>
        <x:v>0</x:v>
      </x:c>
      <x:c r="R160" s="21" t="n">
        <x:f>ROUND(MIN('تنظیمات'!$B$16,MAX(0,L160*12-'تنظیمات'!$B$14)*'تنظیمات'!$B$15)/12,2)</x:f>
        <x:v>0</x:v>
      </x:c>
      <x:c r="S160" s="21" t="n">
        <x:f>SUM(M160:R160)</x:f>
        <x:v>0</x:v>
      </x:c>
      <x:c r="T160" s="21" t="n">
        <x:f>L160-S160</x:f>
        <x:v>0</x:v>
      </x:c>
      <x:c r="U160" s="22" t="n">
        <x:f>'تنظیمات'!$B$5</x:f>
        <x:v>46266</x:v>
      </x:c>
      <x:c r="V160" s="22" t="n">
        <x:f>'تنظیمات'!$B$6</x:f>
        <x:v>46295</x:v>
      </x:c>
      <x:c r="W160" s="17" t="str">
        <x:f>IF(AND(A160&lt;&gt;"",T160&gt;=0),"OK","بررسی شود")</x:f>
        <x:v>بررسی شود</x:v>
      </x:c>
    </x:row>
    <x:row r="161">
      <x:c r="A161" s="13"/>
      <x:c r="B161" s="17" t="str">
        <x:f>IFERROR(VLOOKUP(A161,'کارمندان'!$A$5:$H$205,2,FALSE),"")</x:f>
      </x:c>
      <x:c r="C161" s="21" t="str">
        <x:f>IFERROR(VLOOKUP(A161,'کارمندان'!$A$5:$H$205,5,FALSE),0)</x:f>
      </x:c>
      <x:c r="D161" s="20" t="n">
        <x:f>SUMIFS('حضور و غیاب'!$J$5:$J$205,'حضور و غیاب'!$B$5:$B$205,$A161,'حضور و غیاب'!$A$5:$A$205,"&gt;="&amp;'تنظیمات'!$B$5,'حضور و غیاب'!$A$5:$A$205,"&lt;="&amp;'تنظیمات'!$B$6)</x:f>
        <x:v>0</x:v>
      </x:c>
      <x:c r="E161" s="20" t="n">
        <x:f>SUMIFS('حضور و غیاب'!$K$5:$K$205,'حضور و غیاب'!$B$5:$B$205,$A161,'حضور و غیاب'!$A$5:$A$205,"&gt;="&amp;'تنظیمات'!$B$5,'حضور و غیاب'!$A$5:$A$205,"&lt;="&amp;'تنظیمات'!$B$6)</x:f>
        <x:v>0</x:v>
      </x:c>
      <x:c r="F161" s="20" t="n">
        <x:f>SUMIFS('حضور و غیاب'!$G$5:$G$205,'حضور و غیاب'!$B$5:$B$205,$A161,'حضور و غیاب'!$F$5:$F$205,"Paid",'حضور و غیاب'!$A$5:$A$205,"&gt;="&amp;'تنظیمات'!$B$5,'حضور و غیاب'!$A$5:$A$205,"&lt;="&amp;'تنظیمات'!$B$6)</x:f>
        <x:v>0</x:v>
      </x:c>
      <x:c r="G161" s="20" t="n">
        <x:f>SUMIFS('حضور و غیاب'!$L$5:$L$205,'حضور و غیاب'!$B$5:$B$205,$A161,'حضور و غیاب'!$A$5:$A$205,"&gt;="&amp;'تنظیمات'!$B$5,'حضور و غیاب'!$A$5:$A$205,"&lt;="&amp;'تنظیمات'!$B$6)</x:f>
        <x:v>0</x:v>
      </x:c>
      <x:c r="H161" s="21" t="n">
        <x:f>ROUND(C161*D161,2)</x:f>
        <x:v>0</x:v>
      </x:c>
      <x:c r="I161" s="21" t="n">
        <x:f>ROUND(C161*E161*'تنظیمات'!$B$7,2)</x:f>
        <x:v>0</x:v>
      </x:c>
      <x:c r="J161" s="21" t="n">
        <x:f>ROUND(C161*F161,2)</x:f>
        <x:v>0</x:v>
      </x:c>
      <x:c r="K161" s="21" t="n">
        <x:f>ROUND((H161+I161+J161)*'تنظیمات'!$B$8,2)</x:f>
        <x:v>0</x:v>
      </x:c>
      <x:c r="L161" s="21" t="n">
        <x:f>SUM(H161:K161)</x:f>
        <x:v>0</x:v>
      </x:c>
      <x:c r="M161" s="21" t="n">
        <x:f>ROUND(MAX(0,L161-'تنظیمات'!$B$9)*'تنظیمات'!$B$10,2)</x:f>
        <x:v>0</x:v>
      </x:c>
      <x:c r="N161" s="21" t="n">
        <x:f>ROUND(MAX(0,L161*12-'تنظیمات'!$B$11)/12*'تنظیمات'!$B$12,2)</x:f>
        <x:v>0</x:v>
      </x:c>
      <x:c r="O161" s="21" t="n">
        <x:f>ROUND(L161*'تنظیمات'!$B$13,2)</x:f>
        <x:v>0</x:v>
      </x:c>
      <x:c r="P161" s="21" t="n">
        <x:f>ROUND((MIN(L161*12,'تنظیمات'!$B$17)*'تنظیمات'!$B$18+MAX(0,MIN(L161*12,'تنظیمات'!$B$19)-'تنظیمات'!$B$17)*'تنظیمات'!$B$20)/12,2)</x:f>
        <x:v>0</x:v>
      </x:c>
      <x:c r="Q161" s="21" t="n">
        <x:f>ROUND(MIN(L161*12,'تنظیمات'!$B$21)*'تنظیمات'!$B$22/12,2)</x:f>
        <x:v>0</x:v>
      </x:c>
      <x:c r="R161" s="21" t="n">
        <x:f>ROUND(MIN('تنظیمات'!$B$16,MAX(0,L161*12-'تنظیمات'!$B$14)*'تنظیمات'!$B$15)/12,2)</x:f>
        <x:v>0</x:v>
      </x:c>
      <x:c r="S161" s="21" t="n">
        <x:f>SUM(M161:R161)</x:f>
        <x:v>0</x:v>
      </x:c>
      <x:c r="T161" s="21" t="n">
        <x:f>L161-S161</x:f>
        <x:v>0</x:v>
      </x:c>
      <x:c r="U161" s="22" t="n">
        <x:f>'تنظیمات'!$B$5</x:f>
        <x:v>46266</x:v>
      </x:c>
      <x:c r="V161" s="22" t="n">
        <x:f>'تنظیمات'!$B$6</x:f>
        <x:v>46295</x:v>
      </x:c>
      <x:c r="W161" s="17" t="str">
        <x:f>IF(AND(A161&lt;&gt;"",T161&gt;=0),"OK","بررسی شود")</x:f>
        <x:v>بررسی شود</x:v>
      </x:c>
    </x:row>
    <x:row r="162">
      <x:c r="A162" s="13"/>
      <x:c r="B162" s="17" t="str">
        <x:f>IFERROR(VLOOKUP(A162,'کارمندان'!$A$5:$H$205,2,FALSE),"")</x:f>
      </x:c>
      <x:c r="C162" s="21" t="str">
        <x:f>IFERROR(VLOOKUP(A162,'کارمندان'!$A$5:$H$205,5,FALSE),0)</x:f>
      </x:c>
      <x:c r="D162" s="20" t="n">
        <x:f>SUMIFS('حضور و غیاب'!$J$5:$J$205,'حضور و غیاب'!$B$5:$B$205,$A162,'حضور و غیاب'!$A$5:$A$205,"&gt;="&amp;'تنظیمات'!$B$5,'حضور و غیاب'!$A$5:$A$205,"&lt;="&amp;'تنظیمات'!$B$6)</x:f>
        <x:v>0</x:v>
      </x:c>
      <x:c r="E162" s="20" t="n">
        <x:f>SUMIFS('حضور و غیاب'!$K$5:$K$205,'حضور و غیاب'!$B$5:$B$205,$A162,'حضور و غیاب'!$A$5:$A$205,"&gt;="&amp;'تنظیمات'!$B$5,'حضور و غیاب'!$A$5:$A$205,"&lt;="&amp;'تنظیمات'!$B$6)</x:f>
        <x:v>0</x:v>
      </x:c>
      <x:c r="F162" s="20" t="n">
        <x:f>SUMIFS('حضور و غیاب'!$G$5:$G$205,'حضور و غیاب'!$B$5:$B$205,$A162,'حضور و غیاب'!$F$5:$F$205,"Paid",'حضور و غیاب'!$A$5:$A$205,"&gt;="&amp;'تنظیمات'!$B$5,'حضور و غیاب'!$A$5:$A$205,"&lt;="&amp;'تنظیمات'!$B$6)</x:f>
        <x:v>0</x:v>
      </x:c>
      <x:c r="G162" s="20" t="n">
        <x:f>SUMIFS('حضور و غیاب'!$L$5:$L$205,'حضور و غیاب'!$B$5:$B$205,$A162,'حضور و غیاب'!$A$5:$A$205,"&gt;="&amp;'تنظیمات'!$B$5,'حضور و غیاب'!$A$5:$A$205,"&lt;="&amp;'تنظیمات'!$B$6)</x:f>
        <x:v>0</x:v>
      </x:c>
      <x:c r="H162" s="21" t="n">
        <x:f>ROUND(C162*D162,2)</x:f>
        <x:v>0</x:v>
      </x:c>
      <x:c r="I162" s="21" t="n">
        <x:f>ROUND(C162*E162*'تنظیمات'!$B$7,2)</x:f>
        <x:v>0</x:v>
      </x:c>
      <x:c r="J162" s="21" t="n">
        <x:f>ROUND(C162*F162,2)</x:f>
        <x:v>0</x:v>
      </x:c>
      <x:c r="K162" s="21" t="n">
        <x:f>ROUND((H162+I162+J162)*'تنظیمات'!$B$8,2)</x:f>
        <x:v>0</x:v>
      </x:c>
      <x:c r="L162" s="21" t="n">
        <x:f>SUM(H162:K162)</x:f>
        <x:v>0</x:v>
      </x:c>
      <x:c r="M162" s="21" t="n">
        <x:f>ROUND(MAX(0,L162-'تنظیمات'!$B$9)*'تنظیمات'!$B$10,2)</x:f>
        <x:v>0</x:v>
      </x:c>
      <x:c r="N162" s="21" t="n">
        <x:f>ROUND(MAX(0,L162*12-'تنظیمات'!$B$11)/12*'تنظیمات'!$B$12,2)</x:f>
        <x:v>0</x:v>
      </x:c>
      <x:c r="O162" s="21" t="n">
        <x:f>ROUND(L162*'تنظیمات'!$B$13,2)</x:f>
        <x:v>0</x:v>
      </x:c>
      <x:c r="P162" s="21" t="n">
        <x:f>ROUND((MIN(L162*12,'تنظیمات'!$B$17)*'تنظیمات'!$B$18+MAX(0,MIN(L162*12,'تنظیمات'!$B$19)-'تنظیمات'!$B$17)*'تنظیمات'!$B$20)/12,2)</x:f>
        <x:v>0</x:v>
      </x:c>
      <x:c r="Q162" s="21" t="n">
        <x:f>ROUND(MIN(L162*12,'تنظیمات'!$B$21)*'تنظیمات'!$B$22/12,2)</x:f>
        <x:v>0</x:v>
      </x:c>
      <x:c r="R162" s="21" t="n">
        <x:f>ROUND(MIN('تنظیمات'!$B$16,MAX(0,L162*12-'تنظیمات'!$B$14)*'تنظیمات'!$B$15)/12,2)</x:f>
        <x:v>0</x:v>
      </x:c>
      <x:c r="S162" s="21" t="n">
        <x:f>SUM(M162:R162)</x:f>
        <x:v>0</x:v>
      </x:c>
      <x:c r="T162" s="21" t="n">
        <x:f>L162-S162</x:f>
        <x:v>0</x:v>
      </x:c>
      <x:c r="U162" s="22" t="n">
        <x:f>'تنظیمات'!$B$5</x:f>
        <x:v>46266</x:v>
      </x:c>
      <x:c r="V162" s="22" t="n">
        <x:f>'تنظیمات'!$B$6</x:f>
        <x:v>46295</x:v>
      </x:c>
      <x:c r="W162" s="17" t="str">
        <x:f>IF(AND(A162&lt;&gt;"",T162&gt;=0),"OK","بررسی شود")</x:f>
        <x:v>بررسی شود</x:v>
      </x:c>
    </x:row>
    <x:row r="163">
      <x:c r="A163" s="13"/>
      <x:c r="B163" s="17" t="str">
        <x:f>IFERROR(VLOOKUP(A163,'کارمندان'!$A$5:$H$205,2,FALSE),"")</x:f>
      </x:c>
      <x:c r="C163" s="21" t="str">
        <x:f>IFERROR(VLOOKUP(A163,'کارمندان'!$A$5:$H$205,5,FALSE),0)</x:f>
      </x:c>
      <x:c r="D163" s="20" t="n">
        <x:f>SUMIFS('حضور و غیاب'!$J$5:$J$205,'حضور و غیاب'!$B$5:$B$205,$A163,'حضور و غیاب'!$A$5:$A$205,"&gt;="&amp;'تنظیمات'!$B$5,'حضور و غیاب'!$A$5:$A$205,"&lt;="&amp;'تنظیمات'!$B$6)</x:f>
        <x:v>0</x:v>
      </x:c>
      <x:c r="E163" s="20" t="n">
        <x:f>SUMIFS('حضور و غیاب'!$K$5:$K$205,'حضور و غیاب'!$B$5:$B$205,$A163,'حضور و غیاب'!$A$5:$A$205,"&gt;="&amp;'تنظیمات'!$B$5,'حضور و غیاب'!$A$5:$A$205,"&lt;="&amp;'تنظیمات'!$B$6)</x:f>
        <x:v>0</x:v>
      </x:c>
      <x:c r="F163" s="20" t="n">
        <x:f>SUMIFS('حضور و غیاب'!$G$5:$G$205,'حضور و غیاب'!$B$5:$B$205,$A163,'حضور و غیاب'!$F$5:$F$205,"Paid",'حضور و غیاب'!$A$5:$A$205,"&gt;="&amp;'تنظیمات'!$B$5,'حضور و غیاب'!$A$5:$A$205,"&lt;="&amp;'تنظیمات'!$B$6)</x:f>
        <x:v>0</x:v>
      </x:c>
      <x:c r="G163" s="20" t="n">
        <x:f>SUMIFS('حضور و غیاب'!$L$5:$L$205,'حضور و غیاب'!$B$5:$B$205,$A163,'حضور و غیاب'!$A$5:$A$205,"&gt;="&amp;'تنظیمات'!$B$5,'حضور و غیاب'!$A$5:$A$205,"&lt;="&amp;'تنظیمات'!$B$6)</x:f>
        <x:v>0</x:v>
      </x:c>
      <x:c r="H163" s="21" t="n">
        <x:f>ROUND(C163*D163,2)</x:f>
        <x:v>0</x:v>
      </x:c>
      <x:c r="I163" s="21" t="n">
        <x:f>ROUND(C163*E163*'تنظیمات'!$B$7,2)</x:f>
        <x:v>0</x:v>
      </x:c>
      <x:c r="J163" s="21" t="n">
        <x:f>ROUND(C163*F163,2)</x:f>
        <x:v>0</x:v>
      </x:c>
      <x:c r="K163" s="21" t="n">
        <x:f>ROUND((H163+I163+J163)*'تنظیمات'!$B$8,2)</x:f>
        <x:v>0</x:v>
      </x:c>
      <x:c r="L163" s="21" t="n">
        <x:f>SUM(H163:K163)</x:f>
        <x:v>0</x:v>
      </x:c>
      <x:c r="M163" s="21" t="n">
        <x:f>ROUND(MAX(0,L163-'تنظیمات'!$B$9)*'تنظیمات'!$B$10,2)</x:f>
        <x:v>0</x:v>
      </x:c>
      <x:c r="N163" s="21" t="n">
        <x:f>ROUND(MAX(0,L163*12-'تنظیمات'!$B$11)/12*'تنظیمات'!$B$12,2)</x:f>
        <x:v>0</x:v>
      </x:c>
      <x:c r="O163" s="21" t="n">
        <x:f>ROUND(L163*'تنظیمات'!$B$13,2)</x:f>
        <x:v>0</x:v>
      </x:c>
      <x:c r="P163" s="21" t="n">
        <x:f>ROUND((MIN(L163*12,'تنظیمات'!$B$17)*'تنظیمات'!$B$18+MAX(0,MIN(L163*12,'تنظیمات'!$B$19)-'تنظیمات'!$B$17)*'تنظیمات'!$B$20)/12,2)</x:f>
        <x:v>0</x:v>
      </x:c>
      <x:c r="Q163" s="21" t="n">
        <x:f>ROUND(MIN(L163*12,'تنظیمات'!$B$21)*'تنظیمات'!$B$22/12,2)</x:f>
        <x:v>0</x:v>
      </x:c>
      <x:c r="R163" s="21" t="n">
        <x:f>ROUND(MIN('تنظیمات'!$B$16,MAX(0,L163*12-'تنظیمات'!$B$14)*'تنظیمات'!$B$15)/12,2)</x:f>
        <x:v>0</x:v>
      </x:c>
      <x:c r="S163" s="21" t="n">
        <x:f>SUM(M163:R163)</x:f>
        <x:v>0</x:v>
      </x:c>
      <x:c r="T163" s="21" t="n">
        <x:f>L163-S163</x:f>
        <x:v>0</x:v>
      </x:c>
      <x:c r="U163" s="22" t="n">
        <x:f>'تنظیمات'!$B$5</x:f>
        <x:v>46266</x:v>
      </x:c>
      <x:c r="V163" s="22" t="n">
        <x:f>'تنظیمات'!$B$6</x:f>
        <x:v>46295</x:v>
      </x:c>
      <x:c r="W163" s="17" t="str">
        <x:f>IF(AND(A163&lt;&gt;"",T163&gt;=0),"OK","بررسی شود")</x:f>
        <x:v>بررسی شود</x:v>
      </x:c>
    </x:row>
    <x:row r="164">
      <x:c r="A164" s="13"/>
      <x:c r="B164" s="17" t="str">
        <x:f>IFERROR(VLOOKUP(A164,'کارمندان'!$A$5:$H$205,2,FALSE),"")</x:f>
      </x:c>
      <x:c r="C164" s="21" t="str">
        <x:f>IFERROR(VLOOKUP(A164,'کارمندان'!$A$5:$H$205,5,FALSE),0)</x:f>
      </x:c>
      <x:c r="D164" s="20" t="n">
        <x:f>SUMIFS('حضور و غیاب'!$J$5:$J$205,'حضور و غیاب'!$B$5:$B$205,$A164,'حضور و غیاب'!$A$5:$A$205,"&gt;="&amp;'تنظیمات'!$B$5,'حضور و غیاب'!$A$5:$A$205,"&lt;="&amp;'تنظیمات'!$B$6)</x:f>
        <x:v>0</x:v>
      </x:c>
      <x:c r="E164" s="20" t="n">
        <x:f>SUMIFS('حضور و غیاب'!$K$5:$K$205,'حضور و غیاب'!$B$5:$B$205,$A164,'حضور و غیاب'!$A$5:$A$205,"&gt;="&amp;'تنظیمات'!$B$5,'حضور و غیاب'!$A$5:$A$205,"&lt;="&amp;'تنظیمات'!$B$6)</x:f>
        <x:v>0</x:v>
      </x:c>
      <x:c r="F164" s="20" t="n">
        <x:f>SUMIFS('حضور و غیاب'!$G$5:$G$205,'حضور و غیاب'!$B$5:$B$205,$A164,'حضور و غیاب'!$F$5:$F$205,"Paid",'حضور و غیاب'!$A$5:$A$205,"&gt;="&amp;'تنظیمات'!$B$5,'حضور و غیاب'!$A$5:$A$205,"&lt;="&amp;'تنظیمات'!$B$6)</x:f>
        <x:v>0</x:v>
      </x:c>
      <x:c r="G164" s="20" t="n">
        <x:f>SUMIFS('حضور و غیاب'!$L$5:$L$205,'حضور و غیاب'!$B$5:$B$205,$A164,'حضور و غیاب'!$A$5:$A$205,"&gt;="&amp;'تنظیمات'!$B$5,'حضور و غیاب'!$A$5:$A$205,"&lt;="&amp;'تنظیمات'!$B$6)</x:f>
        <x:v>0</x:v>
      </x:c>
      <x:c r="H164" s="21" t="n">
        <x:f>ROUND(C164*D164,2)</x:f>
        <x:v>0</x:v>
      </x:c>
      <x:c r="I164" s="21" t="n">
        <x:f>ROUND(C164*E164*'تنظیمات'!$B$7,2)</x:f>
        <x:v>0</x:v>
      </x:c>
      <x:c r="J164" s="21" t="n">
        <x:f>ROUND(C164*F164,2)</x:f>
        <x:v>0</x:v>
      </x:c>
      <x:c r="K164" s="21" t="n">
        <x:f>ROUND((H164+I164+J164)*'تنظیمات'!$B$8,2)</x:f>
        <x:v>0</x:v>
      </x:c>
      <x:c r="L164" s="21" t="n">
        <x:f>SUM(H164:K164)</x:f>
        <x:v>0</x:v>
      </x:c>
      <x:c r="M164" s="21" t="n">
        <x:f>ROUND(MAX(0,L164-'تنظیمات'!$B$9)*'تنظیمات'!$B$10,2)</x:f>
        <x:v>0</x:v>
      </x:c>
      <x:c r="N164" s="21" t="n">
        <x:f>ROUND(MAX(0,L164*12-'تنظیمات'!$B$11)/12*'تنظیمات'!$B$12,2)</x:f>
        <x:v>0</x:v>
      </x:c>
      <x:c r="O164" s="21" t="n">
        <x:f>ROUND(L164*'تنظیمات'!$B$13,2)</x:f>
        <x:v>0</x:v>
      </x:c>
      <x:c r="P164" s="21" t="n">
        <x:f>ROUND((MIN(L164*12,'تنظیمات'!$B$17)*'تنظیمات'!$B$18+MAX(0,MIN(L164*12,'تنظیمات'!$B$19)-'تنظیمات'!$B$17)*'تنظیمات'!$B$20)/12,2)</x:f>
        <x:v>0</x:v>
      </x:c>
      <x:c r="Q164" s="21" t="n">
        <x:f>ROUND(MIN(L164*12,'تنظیمات'!$B$21)*'تنظیمات'!$B$22/12,2)</x:f>
        <x:v>0</x:v>
      </x:c>
      <x:c r="R164" s="21" t="n">
        <x:f>ROUND(MIN('تنظیمات'!$B$16,MAX(0,L164*12-'تنظیمات'!$B$14)*'تنظیمات'!$B$15)/12,2)</x:f>
        <x:v>0</x:v>
      </x:c>
      <x:c r="S164" s="21" t="n">
        <x:f>SUM(M164:R164)</x:f>
        <x:v>0</x:v>
      </x:c>
      <x:c r="T164" s="21" t="n">
        <x:f>L164-S164</x:f>
        <x:v>0</x:v>
      </x:c>
      <x:c r="U164" s="22" t="n">
        <x:f>'تنظیمات'!$B$5</x:f>
        <x:v>46266</x:v>
      </x:c>
      <x:c r="V164" s="22" t="n">
        <x:f>'تنظیمات'!$B$6</x:f>
        <x:v>46295</x:v>
      </x:c>
      <x:c r="W164" s="17" t="str">
        <x:f>IF(AND(A164&lt;&gt;"",T164&gt;=0),"OK","بررسی شود")</x:f>
        <x:v>بررسی شود</x:v>
      </x:c>
    </x:row>
    <x:row r="165">
      <x:c r="A165" s="13"/>
      <x:c r="B165" s="17" t="str">
        <x:f>IFERROR(VLOOKUP(A165,'کارمندان'!$A$5:$H$205,2,FALSE),"")</x:f>
      </x:c>
      <x:c r="C165" s="21" t="str">
        <x:f>IFERROR(VLOOKUP(A165,'کارمندان'!$A$5:$H$205,5,FALSE),0)</x:f>
      </x:c>
      <x:c r="D165" s="20" t="n">
        <x:f>SUMIFS('حضور و غیاب'!$J$5:$J$205,'حضور و غیاب'!$B$5:$B$205,$A165,'حضور و غیاب'!$A$5:$A$205,"&gt;="&amp;'تنظیمات'!$B$5,'حضور و غیاب'!$A$5:$A$205,"&lt;="&amp;'تنظیمات'!$B$6)</x:f>
        <x:v>0</x:v>
      </x:c>
      <x:c r="E165" s="20" t="n">
        <x:f>SUMIFS('حضور و غیاب'!$K$5:$K$205,'حضور و غیاب'!$B$5:$B$205,$A165,'حضور و غیاب'!$A$5:$A$205,"&gt;="&amp;'تنظیمات'!$B$5,'حضور و غیاب'!$A$5:$A$205,"&lt;="&amp;'تنظیمات'!$B$6)</x:f>
        <x:v>0</x:v>
      </x:c>
      <x:c r="F165" s="20" t="n">
        <x:f>SUMIFS('حضور و غیاب'!$G$5:$G$205,'حضور و غیاب'!$B$5:$B$205,$A165,'حضور و غیاب'!$F$5:$F$205,"Paid",'حضور و غیاب'!$A$5:$A$205,"&gt;="&amp;'تنظیمات'!$B$5,'حضور و غیاب'!$A$5:$A$205,"&lt;="&amp;'تنظیمات'!$B$6)</x:f>
        <x:v>0</x:v>
      </x:c>
      <x:c r="G165" s="20" t="n">
        <x:f>SUMIFS('حضور و غیاب'!$L$5:$L$205,'حضور و غیاب'!$B$5:$B$205,$A165,'حضور و غیاب'!$A$5:$A$205,"&gt;="&amp;'تنظیمات'!$B$5,'حضور و غیاب'!$A$5:$A$205,"&lt;="&amp;'تنظیمات'!$B$6)</x:f>
        <x:v>0</x:v>
      </x:c>
      <x:c r="H165" s="21" t="n">
        <x:f>ROUND(C165*D165,2)</x:f>
        <x:v>0</x:v>
      </x:c>
      <x:c r="I165" s="21" t="n">
        <x:f>ROUND(C165*E165*'تنظیمات'!$B$7,2)</x:f>
        <x:v>0</x:v>
      </x:c>
      <x:c r="J165" s="21" t="n">
        <x:f>ROUND(C165*F165,2)</x:f>
        <x:v>0</x:v>
      </x:c>
      <x:c r="K165" s="21" t="n">
        <x:f>ROUND((H165+I165+J165)*'تنظیمات'!$B$8,2)</x:f>
        <x:v>0</x:v>
      </x:c>
      <x:c r="L165" s="21" t="n">
        <x:f>SUM(H165:K165)</x:f>
        <x:v>0</x:v>
      </x:c>
      <x:c r="M165" s="21" t="n">
        <x:f>ROUND(MAX(0,L165-'تنظیمات'!$B$9)*'تنظیمات'!$B$10,2)</x:f>
        <x:v>0</x:v>
      </x:c>
      <x:c r="N165" s="21" t="n">
        <x:f>ROUND(MAX(0,L165*12-'تنظیمات'!$B$11)/12*'تنظیمات'!$B$12,2)</x:f>
        <x:v>0</x:v>
      </x:c>
      <x:c r="O165" s="21" t="n">
        <x:f>ROUND(L165*'تنظیمات'!$B$13,2)</x:f>
        <x:v>0</x:v>
      </x:c>
      <x:c r="P165" s="21" t="n">
        <x:f>ROUND((MIN(L165*12,'تنظیمات'!$B$17)*'تنظیمات'!$B$18+MAX(0,MIN(L165*12,'تنظیمات'!$B$19)-'تنظیمات'!$B$17)*'تنظیمات'!$B$20)/12,2)</x:f>
        <x:v>0</x:v>
      </x:c>
      <x:c r="Q165" s="21" t="n">
        <x:f>ROUND(MIN(L165*12,'تنظیمات'!$B$21)*'تنظیمات'!$B$22/12,2)</x:f>
        <x:v>0</x:v>
      </x:c>
      <x:c r="R165" s="21" t="n">
        <x:f>ROUND(MIN('تنظیمات'!$B$16,MAX(0,L165*12-'تنظیمات'!$B$14)*'تنظیمات'!$B$15)/12,2)</x:f>
        <x:v>0</x:v>
      </x:c>
      <x:c r="S165" s="21" t="n">
        <x:f>SUM(M165:R165)</x:f>
        <x:v>0</x:v>
      </x:c>
      <x:c r="T165" s="21" t="n">
        <x:f>L165-S165</x:f>
        <x:v>0</x:v>
      </x:c>
      <x:c r="U165" s="22" t="n">
        <x:f>'تنظیمات'!$B$5</x:f>
        <x:v>46266</x:v>
      </x:c>
      <x:c r="V165" s="22" t="n">
        <x:f>'تنظیمات'!$B$6</x:f>
        <x:v>46295</x:v>
      </x:c>
      <x:c r="W165" s="17" t="str">
        <x:f>IF(AND(A165&lt;&gt;"",T165&gt;=0),"OK","بررسی شود")</x:f>
        <x:v>بررسی شود</x:v>
      </x:c>
    </x:row>
    <x:row r="166">
      <x:c r="A166" s="13"/>
      <x:c r="B166" s="17" t="str">
        <x:f>IFERROR(VLOOKUP(A166,'کارمندان'!$A$5:$H$205,2,FALSE),"")</x:f>
      </x:c>
      <x:c r="C166" s="21" t="str">
        <x:f>IFERROR(VLOOKUP(A166,'کارمندان'!$A$5:$H$205,5,FALSE),0)</x:f>
      </x:c>
      <x:c r="D166" s="20" t="n">
        <x:f>SUMIFS('حضور و غیاب'!$J$5:$J$205,'حضور و غیاب'!$B$5:$B$205,$A166,'حضور و غیاب'!$A$5:$A$205,"&gt;="&amp;'تنظیمات'!$B$5,'حضور و غیاب'!$A$5:$A$205,"&lt;="&amp;'تنظیمات'!$B$6)</x:f>
        <x:v>0</x:v>
      </x:c>
      <x:c r="E166" s="20" t="n">
        <x:f>SUMIFS('حضور و غیاب'!$K$5:$K$205,'حضور و غیاب'!$B$5:$B$205,$A166,'حضور و غیاب'!$A$5:$A$205,"&gt;="&amp;'تنظیمات'!$B$5,'حضور و غیاب'!$A$5:$A$205,"&lt;="&amp;'تنظیمات'!$B$6)</x:f>
        <x:v>0</x:v>
      </x:c>
      <x:c r="F166" s="20" t="n">
        <x:f>SUMIFS('حضور و غیاب'!$G$5:$G$205,'حضور و غیاب'!$B$5:$B$205,$A166,'حضور و غیاب'!$F$5:$F$205,"Paid",'حضور و غیاب'!$A$5:$A$205,"&gt;="&amp;'تنظیمات'!$B$5,'حضور و غیاب'!$A$5:$A$205,"&lt;="&amp;'تنظیمات'!$B$6)</x:f>
        <x:v>0</x:v>
      </x:c>
      <x:c r="G166" s="20" t="n">
        <x:f>SUMIFS('حضور و غیاب'!$L$5:$L$205,'حضور و غیاب'!$B$5:$B$205,$A166,'حضور و غیاب'!$A$5:$A$205,"&gt;="&amp;'تنظیمات'!$B$5,'حضور و غیاب'!$A$5:$A$205,"&lt;="&amp;'تنظیمات'!$B$6)</x:f>
        <x:v>0</x:v>
      </x:c>
      <x:c r="H166" s="21" t="n">
        <x:f>ROUND(C166*D166,2)</x:f>
        <x:v>0</x:v>
      </x:c>
      <x:c r="I166" s="21" t="n">
        <x:f>ROUND(C166*E166*'تنظیمات'!$B$7,2)</x:f>
        <x:v>0</x:v>
      </x:c>
      <x:c r="J166" s="21" t="n">
        <x:f>ROUND(C166*F166,2)</x:f>
        <x:v>0</x:v>
      </x:c>
      <x:c r="K166" s="21" t="n">
        <x:f>ROUND((H166+I166+J166)*'تنظیمات'!$B$8,2)</x:f>
        <x:v>0</x:v>
      </x:c>
      <x:c r="L166" s="21" t="n">
        <x:f>SUM(H166:K166)</x:f>
        <x:v>0</x:v>
      </x:c>
      <x:c r="M166" s="21" t="n">
        <x:f>ROUND(MAX(0,L166-'تنظیمات'!$B$9)*'تنظیمات'!$B$10,2)</x:f>
        <x:v>0</x:v>
      </x:c>
      <x:c r="N166" s="21" t="n">
        <x:f>ROUND(MAX(0,L166*12-'تنظیمات'!$B$11)/12*'تنظیمات'!$B$12,2)</x:f>
        <x:v>0</x:v>
      </x:c>
      <x:c r="O166" s="21" t="n">
        <x:f>ROUND(L166*'تنظیمات'!$B$13,2)</x:f>
        <x:v>0</x:v>
      </x:c>
      <x:c r="P166" s="21" t="n">
        <x:f>ROUND((MIN(L166*12,'تنظیمات'!$B$17)*'تنظیمات'!$B$18+MAX(0,MIN(L166*12,'تنظیمات'!$B$19)-'تنظیمات'!$B$17)*'تنظیمات'!$B$20)/12,2)</x:f>
        <x:v>0</x:v>
      </x:c>
      <x:c r="Q166" s="21" t="n">
        <x:f>ROUND(MIN(L166*12,'تنظیمات'!$B$21)*'تنظیمات'!$B$22/12,2)</x:f>
        <x:v>0</x:v>
      </x:c>
      <x:c r="R166" s="21" t="n">
        <x:f>ROUND(MIN('تنظیمات'!$B$16,MAX(0,L166*12-'تنظیمات'!$B$14)*'تنظیمات'!$B$15)/12,2)</x:f>
        <x:v>0</x:v>
      </x:c>
      <x:c r="S166" s="21" t="n">
        <x:f>SUM(M166:R166)</x:f>
        <x:v>0</x:v>
      </x:c>
      <x:c r="T166" s="21" t="n">
        <x:f>L166-S166</x:f>
        <x:v>0</x:v>
      </x:c>
      <x:c r="U166" s="22" t="n">
        <x:f>'تنظیمات'!$B$5</x:f>
        <x:v>46266</x:v>
      </x:c>
      <x:c r="V166" s="22" t="n">
        <x:f>'تنظیمات'!$B$6</x:f>
        <x:v>46295</x:v>
      </x:c>
      <x:c r="W166" s="17" t="str">
        <x:f>IF(AND(A166&lt;&gt;"",T166&gt;=0),"OK","بررسی شود")</x:f>
        <x:v>بررسی شود</x:v>
      </x:c>
    </x:row>
    <x:row r="167">
      <x:c r="A167" s="13"/>
      <x:c r="B167" s="17" t="str">
        <x:f>IFERROR(VLOOKUP(A167,'کارمندان'!$A$5:$H$205,2,FALSE),"")</x:f>
      </x:c>
      <x:c r="C167" s="21" t="str">
        <x:f>IFERROR(VLOOKUP(A167,'کارمندان'!$A$5:$H$205,5,FALSE),0)</x:f>
      </x:c>
      <x:c r="D167" s="20" t="n">
        <x:f>SUMIFS('حضور و غیاب'!$J$5:$J$205,'حضور و غیاب'!$B$5:$B$205,$A167,'حضور و غیاب'!$A$5:$A$205,"&gt;="&amp;'تنظیمات'!$B$5,'حضور و غیاب'!$A$5:$A$205,"&lt;="&amp;'تنظیمات'!$B$6)</x:f>
        <x:v>0</x:v>
      </x:c>
      <x:c r="E167" s="20" t="n">
        <x:f>SUMIFS('حضور و غیاب'!$K$5:$K$205,'حضور و غیاب'!$B$5:$B$205,$A167,'حضور و غیاب'!$A$5:$A$205,"&gt;="&amp;'تنظیمات'!$B$5,'حضور و غیاب'!$A$5:$A$205,"&lt;="&amp;'تنظیمات'!$B$6)</x:f>
        <x:v>0</x:v>
      </x:c>
      <x:c r="F167" s="20" t="n">
        <x:f>SUMIFS('حضور و غیاب'!$G$5:$G$205,'حضور و غیاب'!$B$5:$B$205,$A167,'حضور و غیاب'!$F$5:$F$205,"Paid",'حضور و غیاب'!$A$5:$A$205,"&gt;="&amp;'تنظیمات'!$B$5,'حضور و غیاب'!$A$5:$A$205,"&lt;="&amp;'تنظیمات'!$B$6)</x:f>
        <x:v>0</x:v>
      </x:c>
      <x:c r="G167" s="20" t="n">
        <x:f>SUMIFS('حضور و غیاب'!$L$5:$L$205,'حضور و غیاب'!$B$5:$B$205,$A167,'حضور و غیاب'!$A$5:$A$205,"&gt;="&amp;'تنظیمات'!$B$5,'حضور و غیاب'!$A$5:$A$205,"&lt;="&amp;'تنظیمات'!$B$6)</x:f>
        <x:v>0</x:v>
      </x:c>
      <x:c r="H167" s="21" t="n">
        <x:f>ROUND(C167*D167,2)</x:f>
        <x:v>0</x:v>
      </x:c>
      <x:c r="I167" s="21" t="n">
        <x:f>ROUND(C167*E167*'تنظیمات'!$B$7,2)</x:f>
        <x:v>0</x:v>
      </x:c>
      <x:c r="J167" s="21" t="n">
        <x:f>ROUND(C167*F167,2)</x:f>
        <x:v>0</x:v>
      </x:c>
      <x:c r="K167" s="21" t="n">
        <x:f>ROUND((H167+I167+J167)*'تنظیمات'!$B$8,2)</x:f>
        <x:v>0</x:v>
      </x:c>
      <x:c r="L167" s="21" t="n">
        <x:f>SUM(H167:K167)</x:f>
        <x:v>0</x:v>
      </x:c>
      <x:c r="M167" s="21" t="n">
        <x:f>ROUND(MAX(0,L167-'تنظیمات'!$B$9)*'تنظیمات'!$B$10,2)</x:f>
        <x:v>0</x:v>
      </x:c>
      <x:c r="N167" s="21" t="n">
        <x:f>ROUND(MAX(0,L167*12-'تنظیمات'!$B$11)/12*'تنظیمات'!$B$12,2)</x:f>
        <x:v>0</x:v>
      </x:c>
      <x:c r="O167" s="21" t="n">
        <x:f>ROUND(L167*'تنظیمات'!$B$13,2)</x:f>
        <x:v>0</x:v>
      </x:c>
      <x:c r="P167" s="21" t="n">
        <x:f>ROUND((MIN(L167*12,'تنظیمات'!$B$17)*'تنظیمات'!$B$18+MAX(0,MIN(L167*12,'تنظیمات'!$B$19)-'تنظیمات'!$B$17)*'تنظیمات'!$B$20)/12,2)</x:f>
        <x:v>0</x:v>
      </x:c>
      <x:c r="Q167" s="21" t="n">
        <x:f>ROUND(MIN(L167*12,'تنظیمات'!$B$21)*'تنظیمات'!$B$22/12,2)</x:f>
        <x:v>0</x:v>
      </x:c>
      <x:c r="R167" s="21" t="n">
        <x:f>ROUND(MIN('تنظیمات'!$B$16,MAX(0,L167*12-'تنظیمات'!$B$14)*'تنظیمات'!$B$15)/12,2)</x:f>
        <x:v>0</x:v>
      </x:c>
      <x:c r="S167" s="21" t="n">
        <x:f>SUM(M167:R167)</x:f>
        <x:v>0</x:v>
      </x:c>
      <x:c r="T167" s="21" t="n">
        <x:f>L167-S167</x:f>
        <x:v>0</x:v>
      </x:c>
      <x:c r="U167" s="22" t="n">
        <x:f>'تنظیمات'!$B$5</x:f>
        <x:v>46266</x:v>
      </x:c>
      <x:c r="V167" s="22" t="n">
        <x:f>'تنظیمات'!$B$6</x:f>
        <x:v>46295</x:v>
      </x:c>
      <x:c r="W167" s="17" t="str">
        <x:f>IF(AND(A167&lt;&gt;"",T167&gt;=0),"OK","بررسی شود")</x:f>
        <x:v>بررسی شود</x:v>
      </x:c>
    </x:row>
    <x:row r="168">
      <x:c r="A168" s="13"/>
      <x:c r="B168" s="17" t="str">
        <x:f>IFERROR(VLOOKUP(A168,'کارمندان'!$A$5:$H$205,2,FALSE),"")</x:f>
      </x:c>
      <x:c r="C168" s="21" t="str">
        <x:f>IFERROR(VLOOKUP(A168,'کارمندان'!$A$5:$H$205,5,FALSE),0)</x:f>
      </x:c>
      <x:c r="D168" s="20" t="n">
        <x:f>SUMIFS('حضور و غیاب'!$J$5:$J$205,'حضور و غیاب'!$B$5:$B$205,$A168,'حضور و غیاب'!$A$5:$A$205,"&gt;="&amp;'تنظیمات'!$B$5,'حضور و غیاب'!$A$5:$A$205,"&lt;="&amp;'تنظیمات'!$B$6)</x:f>
        <x:v>0</x:v>
      </x:c>
      <x:c r="E168" s="20" t="n">
        <x:f>SUMIFS('حضور و غیاب'!$K$5:$K$205,'حضور و غیاب'!$B$5:$B$205,$A168,'حضور و غیاب'!$A$5:$A$205,"&gt;="&amp;'تنظیمات'!$B$5,'حضور و غیاب'!$A$5:$A$205,"&lt;="&amp;'تنظیمات'!$B$6)</x:f>
        <x:v>0</x:v>
      </x:c>
      <x:c r="F168" s="20" t="n">
        <x:f>SUMIFS('حضور و غیاب'!$G$5:$G$205,'حضور و غیاب'!$B$5:$B$205,$A168,'حضور و غیاب'!$F$5:$F$205,"Paid",'حضور و غیاب'!$A$5:$A$205,"&gt;="&amp;'تنظیمات'!$B$5,'حضور و غیاب'!$A$5:$A$205,"&lt;="&amp;'تنظیمات'!$B$6)</x:f>
        <x:v>0</x:v>
      </x:c>
      <x:c r="G168" s="20" t="n">
        <x:f>SUMIFS('حضور و غیاب'!$L$5:$L$205,'حضور و غیاب'!$B$5:$B$205,$A168,'حضور و غیاب'!$A$5:$A$205,"&gt;="&amp;'تنظیمات'!$B$5,'حضور و غیاب'!$A$5:$A$205,"&lt;="&amp;'تنظیمات'!$B$6)</x:f>
        <x:v>0</x:v>
      </x:c>
      <x:c r="H168" s="21" t="n">
        <x:f>ROUND(C168*D168,2)</x:f>
        <x:v>0</x:v>
      </x:c>
      <x:c r="I168" s="21" t="n">
        <x:f>ROUND(C168*E168*'تنظیمات'!$B$7,2)</x:f>
        <x:v>0</x:v>
      </x:c>
      <x:c r="J168" s="21" t="n">
        <x:f>ROUND(C168*F168,2)</x:f>
        <x:v>0</x:v>
      </x:c>
      <x:c r="K168" s="21" t="n">
        <x:f>ROUND((H168+I168+J168)*'تنظیمات'!$B$8,2)</x:f>
        <x:v>0</x:v>
      </x:c>
      <x:c r="L168" s="21" t="n">
        <x:f>SUM(H168:K168)</x:f>
        <x:v>0</x:v>
      </x:c>
      <x:c r="M168" s="21" t="n">
        <x:f>ROUND(MAX(0,L168-'تنظیمات'!$B$9)*'تنظیمات'!$B$10,2)</x:f>
        <x:v>0</x:v>
      </x:c>
      <x:c r="N168" s="21" t="n">
        <x:f>ROUND(MAX(0,L168*12-'تنظیمات'!$B$11)/12*'تنظیمات'!$B$12,2)</x:f>
        <x:v>0</x:v>
      </x:c>
      <x:c r="O168" s="21" t="n">
        <x:f>ROUND(L168*'تنظیمات'!$B$13,2)</x:f>
        <x:v>0</x:v>
      </x:c>
      <x:c r="P168" s="21" t="n">
        <x:f>ROUND((MIN(L168*12,'تنظیمات'!$B$17)*'تنظیمات'!$B$18+MAX(0,MIN(L168*12,'تنظیمات'!$B$19)-'تنظیمات'!$B$17)*'تنظیمات'!$B$20)/12,2)</x:f>
        <x:v>0</x:v>
      </x:c>
      <x:c r="Q168" s="21" t="n">
        <x:f>ROUND(MIN(L168*12,'تنظیمات'!$B$21)*'تنظیمات'!$B$22/12,2)</x:f>
        <x:v>0</x:v>
      </x:c>
      <x:c r="R168" s="21" t="n">
        <x:f>ROUND(MIN('تنظیمات'!$B$16,MAX(0,L168*12-'تنظیمات'!$B$14)*'تنظیمات'!$B$15)/12,2)</x:f>
        <x:v>0</x:v>
      </x:c>
      <x:c r="S168" s="21" t="n">
        <x:f>SUM(M168:R168)</x:f>
        <x:v>0</x:v>
      </x:c>
      <x:c r="T168" s="21" t="n">
        <x:f>L168-S168</x:f>
        <x:v>0</x:v>
      </x:c>
      <x:c r="U168" s="22" t="n">
        <x:f>'تنظیمات'!$B$5</x:f>
        <x:v>46266</x:v>
      </x:c>
      <x:c r="V168" s="22" t="n">
        <x:f>'تنظیمات'!$B$6</x:f>
        <x:v>46295</x:v>
      </x:c>
      <x:c r="W168" s="17" t="str">
        <x:f>IF(AND(A168&lt;&gt;"",T168&gt;=0),"OK","بررسی شود")</x:f>
        <x:v>بررسی شود</x:v>
      </x:c>
    </x:row>
    <x:row r="169">
      <x:c r="A169" s="13"/>
      <x:c r="B169" s="17" t="str">
        <x:f>IFERROR(VLOOKUP(A169,'کارمندان'!$A$5:$H$205,2,FALSE),"")</x:f>
      </x:c>
      <x:c r="C169" s="21" t="str">
        <x:f>IFERROR(VLOOKUP(A169,'کارمندان'!$A$5:$H$205,5,FALSE),0)</x:f>
      </x:c>
      <x:c r="D169" s="20" t="n">
        <x:f>SUMIFS('حضور و غیاب'!$J$5:$J$205,'حضور و غیاب'!$B$5:$B$205,$A169,'حضور و غیاب'!$A$5:$A$205,"&gt;="&amp;'تنظیمات'!$B$5,'حضور و غیاب'!$A$5:$A$205,"&lt;="&amp;'تنظیمات'!$B$6)</x:f>
        <x:v>0</x:v>
      </x:c>
      <x:c r="E169" s="20" t="n">
        <x:f>SUMIFS('حضور و غیاب'!$K$5:$K$205,'حضور و غیاب'!$B$5:$B$205,$A169,'حضور و غیاب'!$A$5:$A$205,"&gt;="&amp;'تنظیمات'!$B$5,'حضور و غیاب'!$A$5:$A$205,"&lt;="&amp;'تنظیمات'!$B$6)</x:f>
        <x:v>0</x:v>
      </x:c>
      <x:c r="F169" s="20" t="n">
        <x:f>SUMIFS('حضور و غیاب'!$G$5:$G$205,'حضور و غیاب'!$B$5:$B$205,$A169,'حضور و غیاب'!$F$5:$F$205,"Paid",'حضور و غیاب'!$A$5:$A$205,"&gt;="&amp;'تنظیمات'!$B$5,'حضور و غیاب'!$A$5:$A$205,"&lt;="&amp;'تنظیمات'!$B$6)</x:f>
        <x:v>0</x:v>
      </x:c>
      <x:c r="G169" s="20" t="n">
        <x:f>SUMIFS('حضور و غیاب'!$L$5:$L$205,'حضور و غیاب'!$B$5:$B$205,$A169,'حضور و غیاب'!$A$5:$A$205,"&gt;="&amp;'تنظیمات'!$B$5,'حضور و غیاب'!$A$5:$A$205,"&lt;="&amp;'تنظیمات'!$B$6)</x:f>
        <x:v>0</x:v>
      </x:c>
      <x:c r="H169" s="21" t="n">
        <x:f>ROUND(C169*D169,2)</x:f>
        <x:v>0</x:v>
      </x:c>
      <x:c r="I169" s="21" t="n">
        <x:f>ROUND(C169*E169*'تنظیمات'!$B$7,2)</x:f>
        <x:v>0</x:v>
      </x:c>
      <x:c r="J169" s="21" t="n">
        <x:f>ROUND(C169*F169,2)</x:f>
        <x:v>0</x:v>
      </x:c>
      <x:c r="K169" s="21" t="n">
        <x:f>ROUND((H169+I169+J169)*'تنظیمات'!$B$8,2)</x:f>
        <x:v>0</x:v>
      </x:c>
      <x:c r="L169" s="21" t="n">
        <x:f>SUM(H169:K169)</x:f>
        <x:v>0</x:v>
      </x:c>
      <x:c r="M169" s="21" t="n">
        <x:f>ROUND(MAX(0,L169-'تنظیمات'!$B$9)*'تنظیمات'!$B$10,2)</x:f>
        <x:v>0</x:v>
      </x:c>
      <x:c r="N169" s="21" t="n">
        <x:f>ROUND(MAX(0,L169*12-'تنظیمات'!$B$11)/12*'تنظیمات'!$B$12,2)</x:f>
        <x:v>0</x:v>
      </x:c>
      <x:c r="O169" s="21" t="n">
        <x:f>ROUND(L169*'تنظیمات'!$B$13,2)</x:f>
        <x:v>0</x:v>
      </x:c>
      <x:c r="P169" s="21" t="n">
        <x:f>ROUND((MIN(L169*12,'تنظیمات'!$B$17)*'تنظیمات'!$B$18+MAX(0,MIN(L169*12,'تنظیمات'!$B$19)-'تنظیمات'!$B$17)*'تنظیمات'!$B$20)/12,2)</x:f>
        <x:v>0</x:v>
      </x:c>
      <x:c r="Q169" s="21" t="n">
        <x:f>ROUND(MIN(L169*12,'تنظیمات'!$B$21)*'تنظیمات'!$B$22/12,2)</x:f>
        <x:v>0</x:v>
      </x:c>
      <x:c r="R169" s="21" t="n">
        <x:f>ROUND(MIN('تنظیمات'!$B$16,MAX(0,L169*12-'تنظیمات'!$B$14)*'تنظیمات'!$B$15)/12,2)</x:f>
        <x:v>0</x:v>
      </x:c>
      <x:c r="S169" s="21" t="n">
        <x:f>SUM(M169:R169)</x:f>
        <x:v>0</x:v>
      </x:c>
      <x:c r="T169" s="21" t="n">
        <x:f>L169-S169</x:f>
        <x:v>0</x:v>
      </x:c>
      <x:c r="U169" s="22" t="n">
        <x:f>'تنظیمات'!$B$5</x:f>
        <x:v>46266</x:v>
      </x:c>
      <x:c r="V169" s="22" t="n">
        <x:f>'تنظیمات'!$B$6</x:f>
        <x:v>46295</x:v>
      </x:c>
      <x:c r="W169" s="17" t="str">
        <x:f>IF(AND(A169&lt;&gt;"",T169&gt;=0),"OK","بررسی شود")</x:f>
        <x:v>بررسی شود</x:v>
      </x:c>
    </x:row>
    <x:row r="170">
      <x:c r="A170" s="13"/>
      <x:c r="B170" s="17" t="str">
        <x:f>IFERROR(VLOOKUP(A170,'کارمندان'!$A$5:$H$205,2,FALSE),"")</x:f>
      </x:c>
      <x:c r="C170" s="21" t="str">
        <x:f>IFERROR(VLOOKUP(A170,'کارمندان'!$A$5:$H$205,5,FALSE),0)</x:f>
      </x:c>
      <x:c r="D170" s="20" t="n">
        <x:f>SUMIFS('حضور و غیاب'!$J$5:$J$205,'حضور و غیاب'!$B$5:$B$205,$A170,'حضور و غیاب'!$A$5:$A$205,"&gt;="&amp;'تنظیمات'!$B$5,'حضور و غیاب'!$A$5:$A$205,"&lt;="&amp;'تنظیمات'!$B$6)</x:f>
        <x:v>0</x:v>
      </x:c>
      <x:c r="E170" s="20" t="n">
        <x:f>SUMIFS('حضور و غیاب'!$K$5:$K$205,'حضور و غیاب'!$B$5:$B$205,$A170,'حضور و غیاب'!$A$5:$A$205,"&gt;="&amp;'تنظیمات'!$B$5,'حضور و غیاب'!$A$5:$A$205,"&lt;="&amp;'تنظیمات'!$B$6)</x:f>
        <x:v>0</x:v>
      </x:c>
      <x:c r="F170" s="20" t="n">
        <x:f>SUMIFS('حضور و غیاب'!$G$5:$G$205,'حضور و غیاب'!$B$5:$B$205,$A170,'حضور و غیاب'!$F$5:$F$205,"Paid",'حضور و غیاب'!$A$5:$A$205,"&gt;="&amp;'تنظیمات'!$B$5,'حضور و غیاب'!$A$5:$A$205,"&lt;="&amp;'تنظیمات'!$B$6)</x:f>
        <x:v>0</x:v>
      </x:c>
      <x:c r="G170" s="20" t="n">
        <x:f>SUMIFS('حضور و غیاب'!$L$5:$L$205,'حضور و غیاب'!$B$5:$B$205,$A170,'حضور و غیاب'!$A$5:$A$205,"&gt;="&amp;'تنظیمات'!$B$5,'حضور و غیاب'!$A$5:$A$205,"&lt;="&amp;'تنظیمات'!$B$6)</x:f>
        <x:v>0</x:v>
      </x:c>
      <x:c r="H170" s="21" t="n">
        <x:f>ROUND(C170*D170,2)</x:f>
        <x:v>0</x:v>
      </x:c>
      <x:c r="I170" s="21" t="n">
        <x:f>ROUND(C170*E170*'تنظیمات'!$B$7,2)</x:f>
        <x:v>0</x:v>
      </x:c>
      <x:c r="J170" s="21" t="n">
        <x:f>ROUND(C170*F170,2)</x:f>
        <x:v>0</x:v>
      </x:c>
      <x:c r="K170" s="21" t="n">
        <x:f>ROUND((H170+I170+J170)*'تنظیمات'!$B$8,2)</x:f>
        <x:v>0</x:v>
      </x:c>
      <x:c r="L170" s="21" t="n">
        <x:f>SUM(H170:K170)</x:f>
        <x:v>0</x:v>
      </x:c>
      <x:c r="M170" s="21" t="n">
        <x:f>ROUND(MAX(0,L170-'تنظیمات'!$B$9)*'تنظیمات'!$B$10,2)</x:f>
        <x:v>0</x:v>
      </x:c>
      <x:c r="N170" s="21" t="n">
        <x:f>ROUND(MAX(0,L170*12-'تنظیمات'!$B$11)/12*'تنظیمات'!$B$12,2)</x:f>
        <x:v>0</x:v>
      </x:c>
      <x:c r="O170" s="21" t="n">
        <x:f>ROUND(L170*'تنظیمات'!$B$13,2)</x:f>
        <x:v>0</x:v>
      </x:c>
      <x:c r="P170" s="21" t="n">
        <x:f>ROUND((MIN(L170*12,'تنظیمات'!$B$17)*'تنظیمات'!$B$18+MAX(0,MIN(L170*12,'تنظیمات'!$B$19)-'تنظیمات'!$B$17)*'تنظیمات'!$B$20)/12,2)</x:f>
        <x:v>0</x:v>
      </x:c>
      <x:c r="Q170" s="21" t="n">
        <x:f>ROUND(MIN(L170*12,'تنظیمات'!$B$21)*'تنظیمات'!$B$22/12,2)</x:f>
        <x:v>0</x:v>
      </x:c>
      <x:c r="R170" s="21" t="n">
        <x:f>ROUND(MIN('تنظیمات'!$B$16,MAX(0,L170*12-'تنظیمات'!$B$14)*'تنظیمات'!$B$15)/12,2)</x:f>
        <x:v>0</x:v>
      </x:c>
      <x:c r="S170" s="21" t="n">
        <x:f>SUM(M170:R170)</x:f>
        <x:v>0</x:v>
      </x:c>
      <x:c r="T170" s="21" t="n">
        <x:f>L170-S170</x:f>
        <x:v>0</x:v>
      </x:c>
      <x:c r="U170" s="22" t="n">
        <x:f>'تنظیمات'!$B$5</x:f>
        <x:v>46266</x:v>
      </x:c>
      <x:c r="V170" s="22" t="n">
        <x:f>'تنظیمات'!$B$6</x:f>
        <x:v>46295</x:v>
      </x:c>
      <x:c r="W170" s="17" t="str">
        <x:f>IF(AND(A170&lt;&gt;"",T170&gt;=0),"OK","بررسی شود")</x:f>
        <x:v>بررسی شود</x:v>
      </x:c>
    </x:row>
    <x:row r="171">
      <x:c r="A171" s="13"/>
      <x:c r="B171" s="17" t="str">
        <x:f>IFERROR(VLOOKUP(A171,'کارمندان'!$A$5:$H$205,2,FALSE),"")</x:f>
      </x:c>
      <x:c r="C171" s="21" t="str">
        <x:f>IFERROR(VLOOKUP(A171,'کارمندان'!$A$5:$H$205,5,FALSE),0)</x:f>
      </x:c>
      <x:c r="D171" s="20" t="n">
        <x:f>SUMIFS('حضور و غیاب'!$J$5:$J$205,'حضور و غیاب'!$B$5:$B$205,$A171,'حضور و غیاب'!$A$5:$A$205,"&gt;="&amp;'تنظیمات'!$B$5,'حضور و غیاب'!$A$5:$A$205,"&lt;="&amp;'تنظیمات'!$B$6)</x:f>
        <x:v>0</x:v>
      </x:c>
      <x:c r="E171" s="20" t="n">
        <x:f>SUMIFS('حضور و غیاب'!$K$5:$K$205,'حضور و غیاب'!$B$5:$B$205,$A171,'حضور و غیاب'!$A$5:$A$205,"&gt;="&amp;'تنظیمات'!$B$5,'حضور و غیاب'!$A$5:$A$205,"&lt;="&amp;'تنظیمات'!$B$6)</x:f>
        <x:v>0</x:v>
      </x:c>
      <x:c r="F171" s="20" t="n">
        <x:f>SUMIFS('حضور و غیاب'!$G$5:$G$205,'حضور و غیاب'!$B$5:$B$205,$A171,'حضور و غیاب'!$F$5:$F$205,"Paid",'حضور و غیاب'!$A$5:$A$205,"&gt;="&amp;'تنظیمات'!$B$5,'حضور و غیاب'!$A$5:$A$205,"&lt;="&amp;'تنظیمات'!$B$6)</x:f>
        <x:v>0</x:v>
      </x:c>
      <x:c r="G171" s="20" t="n">
        <x:f>SUMIFS('حضور و غیاب'!$L$5:$L$205,'حضور و غیاب'!$B$5:$B$205,$A171,'حضور و غیاب'!$A$5:$A$205,"&gt;="&amp;'تنظیمات'!$B$5,'حضور و غیاب'!$A$5:$A$205,"&lt;="&amp;'تنظیمات'!$B$6)</x:f>
        <x:v>0</x:v>
      </x:c>
      <x:c r="H171" s="21" t="n">
        <x:f>ROUND(C171*D171,2)</x:f>
        <x:v>0</x:v>
      </x:c>
      <x:c r="I171" s="21" t="n">
        <x:f>ROUND(C171*E171*'تنظیمات'!$B$7,2)</x:f>
        <x:v>0</x:v>
      </x:c>
      <x:c r="J171" s="21" t="n">
        <x:f>ROUND(C171*F171,2)</x:f>
        <x:v>0</x:v>
      </x:c>
      <x:c r="K171" s="21" t="n">
        <x:f>ROUND((H171+I171+J171)*'تنظیمات'!$B$8,2)</x:f>
        <x:v>0</x:v>
      </x:c>
      <x:c r="L171" s="21" t="n">
        <x:f>SUM(H171:K171)</x:f>
        <x:v>0</x:v>
      </x:c>
      <x:c r="M171" s="21" t="n">
        <x:f>ROUND(MAX(0,L171-'تنظیمات'!$B$9)*'تنظیمات'!$B$10,2)</x:f>
        <x:v>0</x:v>
      </x:c>
      <x:c r="N171" s="21" t="n">
        <x:f>ROUND(MAX(0,L171*12-'تنظیمات'!$B$11)/12*'تنظیمات'!$B$12,2)</x:f>
        <x:v>0</x:v>
      </x:c>
      <x:c r="O171" s="21" t="n">
        <x:f>ROUND(L171*'تنظیمات'!$B$13,2)</x:f>
        <x:v>0</x:v>
      </x:c>
      <x:c r="P171" s="21" t="n">
        <x:f>ROUND((MIN(L171*12,'تنظیمات'!$B$17)*'تنظیمات'!$B$18+MAX(0,MIN(L171*12,'تنظیمات'!$B$19)-'تنظیمات'!$B$17)*'تنظیمات'!$B$20)/12,2)</x:f>
        <x:v>0</x:v>
      </x:c>
      <x:c r="Q171" s="21" t="n">
        <x:f>ROUND(MIN(L171*12,'تنظیمات'!$B$21)*'تنظیمات'!$B$22/12,2)</x:f>
        <x:v>0</x:v>
      </x:c>
      <x:c r="R171" s="21" t="n">
        <x:f>ROUND(MIN('تنظیمات'!$B$16,MAX(0,L171*12-'تنظیمات'!$B$14)*'تنظیمات'!$B$15)/12,2)</x:f>
        <x:v>0</x:v>
      </x:c>
      <x:c r="S171" s="21" t="n">
        <x:f>SUM(M171:R171)</x:f>
        <x:v>0</x:v>
      </x:c>
      <x:c r="T171" s="21" t="n">
        <x:f>L171-S171</x:f>
        <x:v>0</x:v>
      </x:c>
      <x:c r="U171" s="22" t="n">
        <x:f>'تنظیمات'!$B$5</x:f>
        <x:v>46266</x:v>
      </x:c>
      <x:c r="V171" s="22" t="n">
        <x:f>'تنظیمات'!$B$6</x:f>
        <x:v>46295</x:v>
      </x:c>
      <x:c r="W171" s="17" t="str">
        <x:f>IF(AND(A171&lt;&gt;"",T171&gt;=0),"OK","بررسی شود")</x:f>
        <x:v>بررسی شود</x:v>
      </x:c>
    </x:row>
    <x:row r="172">
      <x:c r="A172" s="13"/>
      <x:c r="B172" s="17" t="str">
        <x:f>IFERROR(VLOOKUP(A172,'کارمندان'!$A$5:$H$205,2,FALSE),"")</x:f>
      </x:c>
      <x:c r="C172" s="21" t="str">
        <x:f>IFERROR(VLOOKUP(A172,'کارمندان'!$A$5:$H$205,5,FALSE),0)</x:f>
      </x:c>
      <x:c r="D172" s="20" t="n">
        <x:f>SUMIFS('حضور و غیاب'!$J$5:$J$205,'حضور و غیاب'!$B$5:$B$205,$A172,'حضور و غیاب'!$A$5:$A$205,"&gt;="&amp;'تنظیمات'!$B$5,'حضور و غیاب'!$A$5:$A$205,"&lt;="&amp;'تنظیمات'!$B$6)</x:f>
        <x:v>0</x:v>
      </x:c>
      <x:c r="E172" s="20" t="n">
        <x:f>SUMIFS('حضور و غیاب'!$K$5:$K$205,'حضور و غیاب'!$B$5:$B$205,$A172,'حضور و غیاب'!$A$5:$A$205,"&gt;="&amp;'تنظیمات'!$B$5,'حضور و غیاب'!$A$5:$A$205,"&lt;="&amp;'تنظیمات'!$B$6)</x:f>
        <x:v>0</x:v>
      </x:c>
      <x:c r="F172" s="20" t="n">
        <x:f>SUMIFS('حضور و غیاب'!$G$5:$G$205,'حضور و غیاب'!$B$5:$B$205,$A172,'حضور و غیاب'!$F$5:$F$205,"Paid",'حضور و غیاب'!$A$5:$A$205,"&gt;="&amp;'تنظیمات'!$B$5,'حضور و غیاب'!$A$5:$A$205,"&lt;="&amp;'تنظیمات'!$B$6)</x:f>
        <x:v>0</x:v>
      </x:c>
      <x:c r="G172" s="20" t="n">
        <x:f>SUMIFS('حضور و غیاب'!$L$5:$L$205,'حضور و غیاب'!$B$5:$B$205,$A172,'حضور و غیاب'!$A$5:$A$205,"&gt;="&amp;'تنظیمات'!$B$5,'حضور و غیاب'!$A$5:$A$205,"&lt;="&amp;'تنظیمات'!$B$6)</x:f>
        <x:v>0</x:v>
      </x:c>
      <x:c r="H172" s="21" t="n">
        <x:f>ROUND(C172*D172,2)</x:f>
        <x:v>0</x:v>
      </x:c>
      <x:c r="I172" s="21" t="n">
        <x:f>ROUND(C172*E172*'تنظیمات'!$B$7,2)</x:f>
        <x:v>0</x:v>
      </x:c>
      <x:c r="J172" s="21" t="n">
        <x:f>ROUND(C172*F172,2)</x:f>
        <x:v>0</x:v>
      </x:c>
      <x:c r="K172" s="21" t="n">
        <x:f>ROUND((H172+I172+J172)*'تنظیمات'!$B$8,2)</x:f>
        <x:v>0</x:v>
      </x:c>
      <x:c r="L172" s="21" t="n">
        <x:f>SUM(H172:K172)</x:f>
        <x:v>0</x:v>
      </x:c>
      <x:c r="M172" s="21" t="n">
        <x:f>ROUND(MAX(0,L172-'تنظیمات'!$B$9)*'تنظیمات'!$B$10,2)</x:f>
        <x:v>0</x:v>
      </x:c>
      <x:c r="N172" s="21" t="n">
        <x:f>ROUND(MAX(0,L172*12-'تنظیمات'!$B$11)/12*'تنظیمات'!$B$12,2)</x:f>
        <x:v>0</x:v>
      </x:c>
      <x:c r="O172" s="21" t="n">
        <x:f>ROUND(L172*'تنظیمات'!$B$13,2)</x:f>
        <x:v>0</x:v>
      </x:c>
      <x:c r="P172" s="21" t="n">
        <x:f>ROUND((MIN(L172*12,'تنظیمات'!$B$17)*'تنظیمات'!$B$18+MAX(0,MIN(L172*12,'تنظیمات'!$B$19)-'تنظیمات'!$B$17)*'تنظیمات'!$B$20)/12,2)</x:f>
        <x:v>0</x:v>
      </x:c>
      <x:c r="Q172" s="21" t="n">
        <x:f>ROUND(MIN(L172*12,'تنظیمات'!$B$21)*'تنظیمات'!$B$22/12,2)</x:f>
        <x:v>0</x:v>
      </x:c>
      <x:c r="R172" s="21" t="n">
        <x:f>ROUND(MIN('تنظیمات'!$B$16,MAX(0,L172*12-'تنظیمات'!$B$14)*'تنظیمات'!$B$15)/12,2)</x:f>
        <x:v>0</x:v>
      </x:c>
      <x:c r="S172" s="21" t="n">
        <x:f>SUM(M172:R172)</x:f>
        <x:v>0</x:v>
      </x:c>
      <x:c r="T172" s="21" t="n">
        <x:f>L172-S172</x:f>
        <x:v>0</x:v>
      </x:c>
      <x:c r="U172" s="22" t="n">
        <x:f>'تنظیمات'!$B$5</x:f>
        <x:v>46266</x:v>
      </x:c>
      <x:c r="V172" s="22" t="n">
        <x:f>'تنظیمات'!$B$6</x:f>
        <x:v>46295</x:v>
      </x:c>
      <x:c r="W172" s="17" t="str">
        <x:f>IF(AND(A172&lt;&gt;"",T172&gt;=0),"OK","بررسی شود")</x:f>
        <x:v>بررسی شود</x:v>
      </x:c>
    </x:row>
    <x:row r="173">
      <x:c r="A173" s="13"/>
      <x:c r="B173" s="17" t="str">
        <x:f>IFERROR(VLOOKUP(A173,'کارمندان'!$A$5:$H$205,2,FALSE),"")</x:f>
      </x:c>
      <x:c r="C173" s="21" t="str">
        <x:f>IFERROR(VLOOKUP(A173,'کارمندان'!$A$5:$H$205,5,FALSE),0)</x:f>
      </x:c>
      <x:c r="D173" s="20" t="n">
        <x:f>SUMIFS('حضور و غیاب'!$J$5:$J$205,'حضور و غیاب'!$B$5:$B$205,$A173,'حضور و غیاب'!$A$5:$A$205,"&gt;="&amp;'تنظیمات'!$B$5,'حضور و غیاب'!$A$5:$A$205,"&lt;="&amp;'تنظیمات'!$B$6)</x:f>
        <x:v>0</x:v>
      </x:c>
      <x:c r="E173" s="20" t="n">
        <x:f>SUMIFS('حضور و غیاب'!$K$5:$K$205,'حضور و غیاب'!$B$5:$B$205,$A173,'حضور و غیاب'!$A$5:$A$205,"&gt;="&amp;'تنظیمات'!$B$5,'حضور و غیاب'!$A$5:$A$205,"&lt;="&amp;'تنظیمات'!$B$6)</x:f>
        <x:v>0</x:v>
      </x:c>
      <x:c r="F173" s="20" t="n">
        <x:f>SUMIFS('حضور و غیاب'!$G$5:$G$205,'حضور و غیاب'!$B$5:$B$205,$A173,'حضور و غیاب'!$F$5:$F$205,"Paid",'حضور و غیاب'!$A$5:$A$205,"&gt;="&amp;'تنظیمات'!$B$5,'حضور و غیاب'!$A$5:$A$205,"&lt;="&amp;'تنظیمات'!$B$6)</x:f>
        <x:v>0</x:v>
      </x:c>
      <x:c r="G173" s="20" t="n">
        <x:f>SUMIFS('حضور و غیاب'!$L$5:$L$205,'حضور و غیاب'!$B$5:$B$205,$A173,'حضور و غیاب'!$A$5:$A$205,"&gt;="&amp;'تنظیمات'!$B$5,'حضور و غیاب'!$A$5:$A$205,"&lt;="&amp;'تنظیمات'!$B$6)</x:f>
        <x:v>0</x:v>
      </x:c>
      <x:c r="H173" s="21" t="n">
        <x:f>ROUND(C173*D173,2)</x:f>
        <x:v>0</x:v>
      </x:c>
      <x:c r="I173" s="21" t="n">
        <x:f>ROUND(C173*E173*'تنظیمات'!$B$7,2)</x:f>
        <x:v>0</x:v>
      </x:c>
      <x:c r="J173" s="21" t="n">
        <x:f>ROUND(C173*F173,2)</x:f>
        <x:v>0</x:v>
      </x:c>
      <x:c r="K173" s="21" t="n">
        <x:f>ROUND((H173+I173+J173)*'تنظیمات'!$B$8,2)</x:f>
        <x:v>0</x:v>
      </x:c>
      <x:c r="L173" s="21" t="n">
        <x:f>SUM(H173:K173)</x:f>
        <x:v>0</x:v>
      </x:c>
      <x:c r="M173" s="21" t="n">
        <x:f>ROUND(MAX(0,L173-'تنظیمات'!$B$9)*'تنظیمات'!$B$10,2)</x:f>
        <x:v>0</x:v>
      </x:c>
      <x:c r="N173" s="21" t="n">
        <x:f>ROUND(MAX(0,L173*12-'تنظیمات'!$B$11)/12*'تنظیمات'!$B$12,2)</x:f>
        <x:v>0</x:v>
      </x:c>
      <x:c r="O173" s="21" t="n">
        <x:f>ROUND(L173*'تنظیمات'!$B$13,2)</x:f>
        <x:v>0</x:v>
      </x:c>
      <x:c r="P173" s="21" t="n">
        <x:f>ROUND((MIN(L173*12,'تنظیمات'!$B$17)*'تنظیمات'!$B$18+MAX(0,MIN(L173*12,'تنظیمات'!$B$19)-'تنظیمات'!$B$17)*'تنظیمات'!$B$20)/12,2)</x:f>
        <x:v>0</x:v>
      </x:c>
      <x:c r="Q173" s="21" t="n">
        <x:f>ROUND(MIN(L173*12,'تنظیمات'!$B$21)*'تنظیمات'!$B$22/12,2)</x:f>
        <x:v>0</x:v>
      </x:c>
      <x:c r="R173" s="21" t="n">
        <x:f>ROUND(MIN('تنظیمات'!$B$16,MAX(0,L173*12-'تنظیمات'!$B$14)*'تنظیمات'!$B$15)/12,2)</x:f>
        <x:v>0</x:v>
      </x:c>
      <x:c r="S173" s="21" t="n">
        <x:f>SUM(M173:R173)</x:f>
        <x:v>0</x:v>
      </x:c>
      <x:c r="T173" s="21" t="n">
        <x:f>L173-S173</x:f>
        <x:v>0</x:v>
      </x:c>
      <x:c r="U173" s="22" t="n">
        <x:f>'تنظیمات'!$B$5</x:f>
        <x:v>46266</x:v>
      </x:c>
      <x:c r="V173" s="22" t="n">
        <x:f>'تنظیمات'!$B$6</x:f>
        <x:v>46295</x:v>
      </x:c>
      <x:c r="W173" s="17" t="str">
        <x:f>IF(AND(A173&lt;&gt;"",T173&gt;=0),"OK","بررسی شود")</x:f>
        <x:v>بررسی شود</x:v>
      </x:c>
    </x:row>
    <x:row r="174">
      <x:c r="A174" s="13"/>
      <x:c r="B174" s="17" t="str">
        <x:f>IFERROR(VLOOKUP(A174,'کارمندان'!$A$5:$H$205,2,FALSE),"")</x:f>
      </x:c>
      <x:c r="C174" s="21" t="str">
        <x:f>IFERROR(VLOOKUP(A174,'کارمندان'!$A$5:$H$205,5,FALSE),0)</x:f>
      </x:c>
      <x:c r="D174" s="20" t="n">
        <x:f>SUMIFS('حضور و غیاب'!$J$5:$J$205,'حضور و غیاب'!$B$5:$B$205,$A174,'حضور و غیاب'!$A$5:$A$205,"&gt;="&amp;'تنظیمات'!$B$5,'حضور و غیاب'!$A$5:$A$205,"&lt;="&amp;'تنظیمات'!$B$6)</x:f>
        <x:v>0</x:v>
      </x:c>
      <x:c r="E174" s="20" t="n">
        <x:f>SUMIFS('حضور و غیاب'!$K$5:$K$205,'حضور و غیاب'!$B$5:$B$205,$A174,'حضور و غیاب'!$A$5:$A$205,"&gt;="&amp;'تنظیمات'!$B$5,'حضور و غیاب'!$A$5:$A$205,"&lt;="&amp;'تنظیمات'!$B$6)</x:f>
        <x:v>0</x:v>
      </x:c>
      <x:c r="F174" s="20" t="n">
        <x:f>SUMIFS('حضور و غیاب'!$G$5:$G$205,'حضور و غیاب'!$B$5:$B$205,$A174,'حضور و غیاب'!$F$5:$F$205,"Paid",'حضور و غیاب'!$A$5:$A$205,"&gt;="&amp;'تنظیمات'!$B$5,'حضور و غیاب'!$A$5:$A$205,"&lt;="&amp;'تنظیمات'!$B$6)</x:f>
        <x:v>0</x:v>
      </x:c>
      <x:c r="G174" s="20" t="n">
        <x:f>SUMIFS('حضور و غیاب'!$L$5:$L$205,'حضور و غیاب'!$B$5:$B$205,$A174,'حضور و غیاب'!$A$5:$A$205,"&gt;="&amp;'تنظیمات'!$B$5,'حضور و غیاب'!$A$5:$A$205,"&lt;="&amp;'تنظیمات'!$B$6)</x:f>
        <x:v>0</x:v>
      </x:c>
      <x:c r="H174" s="21" t="n">
        <x:f>ROUND(C174*D174,2)</x:f>
        <x:v>0</x:v>
      </x:c>
      <x:c r="I174" s="21" t="n">
        <x:f>ROUND(C174*E174*'تنظیمات'!$B$7,2)</x:f>
        <x:v>0</x:v>
      </x:c>
      <x:c r="J174" s="21" t="n">
        <x:f>ROUND(C174*F174,2)</x:f>
        <x:v>0</x:v>
      </x:c>
      <x:c r="K174" s="21" t="n">
        <x:f>ROUND((H174+I174+J174)*'تنظیمات'!$B$8,2)</x:f>
        <x:v>0</x:v>
      </x:c>
      <x:c r="L174" s="21" t="n">
        <x:f>SUM(H174:K174)</x:f>
        <x:v>0</x:v>
      </x:c>
      <x:c r="M174" s="21" t="n">
        <x:f>ROUND(MAX(0,L174-'تنظیمات'!$B$9)*'تنظیمات'!$B$10,2)</x:f>
        <x:v>0</x:v>
      </x:c>
      <x:c r="N174" s="21" t="n">
        <x:f>ROUND(MAX(0,L174*12-'تنظیمات'!$B$11)/12*'تنظیمات'!$B$12,2)</x:f>
        <x:v>0</x:v>
      </x:c>
      <x:c r="O174" s="21" t="n">
        <x:f>ROUND(L174*'تنظیمات'!$B$13,2)</x:f>
        <x:v>0</x:v>
      </x:c>
      <x:c r="P174" s="21" t="n">
        <x:f>ROUND((MIN(L174*12,'تنظیمات'!$B$17)*'تنظیمات'!$B$18+MAX(0,MIN(L174*12,'تنظیمات'!$B$19)-'تنظیمات'!$B$17)*'تنظیمات'!$B$20)/12,2)</x:f>
        <x:v>0</x:v>
      </x:c>
      <x:c r="Q174" s="21" t="n">
        <x:f>ROUND(MIN(L174*12,'تنظیمات'!$B$21)*'تنظیمات'!$B$22/12,2)</x:f>
        <x:v>0</x:v>
      </x:c>
      <x:c r="R174" s="21" t="n">
        <x:f>ROUND(MIN('تنظیمات'!$B$16,MAX(0,L174*12-'تنظیمات'!$B$14)*'تنظیمات'!$B$15)/12,2)</x:f>
        <x:v>0</x:v>
      </x:c>
      <x:c r="S174" s="21" t="n">
        <x:f>SUM(M174:R174)</x:f>
        <x:v>0</x:v>
      </x:c>
      <x:c r="T174" s="21" t="n">
        <x:f>L174-S174</x:f>
        <x:v>0</x:v>
      </x:c>
      <x:c r="U174" s="22" t="n">
        <x:f>'تنظیمات'!$B$5</x:f>
        <x:v>46266</x:v>
      </x:c>
      <x:c r="V174" s="22" t="n">
        <x:f>'تنظیمات'!$B$6</x:f>
        <x:v>46295</x:v>
      </x:c>
      <x:c r="W174" s="17" t="str">
        <x:f>IF(AND(A174&lt;&gt;"",T174&gt;=0),"OK","بررسی شود")</x:f>
        <x:v>بررسی شود</x:v>
      </x:c>
    </x:row>
    <x:row r="175">
      <x:c r="A175" s="13"/>
      <x:c r="B175" s="17" t="str">
        <x:f>IFERROR(VLOOKUP(A175,'کارمندان'!$A$5:$H$205,2,FALSE),"")</x:f>
      </x:c>
      <x:c r="C175" s="21" t="str">
        <x:f>IFERROR(VLOOKUP(A175,'کارمندان'!$A$5:$H$205,5,FALSE),0)</x:f>
      </x:c>
      <x:c r="D175" s="20" t="n">
        <x:f>SUMIFS('حضور و غیاب'!$J$5:$J$205,'حضور و غیاب'!$B$5:$B$205,$A175,'حضور و غیاب'!$A$5:$A$205,"&gt;="&amp;'تنظیمات'!$B$5,'حضور و غیاب'!$A$5:$A$205,"&lt;="&amp;'تنظیمات'!$B$6)</x:f>
        <x:v>0</x:v>
      </x:c>
      <x:c r="E175" s="20" t="n">
        <x:f>SUMIFS('حضور و غیاب'!$K$5:$K$205,'حضور و غیاب'!$B$5:$B$205,$A175,'حضور و غیاب'!$A$5:$A$205,"&gt;="&amp;'تنظیمات'!$B$5,'حضور و غیاب'!$A$5:$A$205,"&lt;="&amp;'تنظیمات'!$B$6)</x:f>
        <x:v>0</x:v>
      </x:c>
      <x:c r="F175" s="20" t="n">
        <x:f>SUMIFS('حضور و غیاب'!$G$5:$G$205,'حضور و غیاب'!$B$5:$B$205,$A175,'حضور و غیاب'!$F$5:$F$205,"Paid",'حضور و غیاب'!$A$5:$A$205,"&gt;="&amp;'تنظیمات'!$B$5,'حضور و غیاب'!$A$5:$A$205,"&lt;="&amp;'تنظیمات'!$B$6)</x:f>
        <x:v>0</x:v>
      </x:c>
      <x:c r="G175" s="20" t="n">
        <x:f>SUMIFS('حضور و غیاب'!$L$5:$L$205,'حضور و غیاب'!$B$5:$B$205,$A175,'حضور و غیاب'!$A$5:$A$205,"&gt;="&amp;'تنظیمات'!$B$5,'حضور و غیاب'!$A$5:$A$205,"&lt;="&amp;'تنظیمات'!$B$6)</x:f>
        <x:v>0</x:v>
      </x:c>
      <x:c r="H175" s="21" t="n">
        <x:f>ROUND(C175*D175,2)</x:f>
        <x:v>0</x:v>
      </x:c>
      <x:c r="I175" s="21" t="n">
        <x:f>ROUND(C175*E175*'تنظیمات'!$B$7,2)</x:f>
        <x:v>0</x:v>
      </x:c>
      <x:c r="J175" s="21" t="n">
        <x:f>ROUND(C175*F175,2)</x:f>
        <x:v>0</x:v>
      </x:c>
      <x:c r="K175" s="21" t="n">
        <x:f>ROUND((H175+I175+J175)*'تنظیمات'!$B$8,2)</x:f>
        <x:v>0</x:v>
      </x:c>
      <x:c r="L175" s="21" t="n">
        <x:f>SUM(H175:K175)</x:f>
        <x:v>0</x:v>
      </x:c>
      <x:c r="M175" s="21" t="n">
        <x:f>ROUND(MAX(0,L175-'تنظیمات'!$B$9)*'تنظیمات'!$B$10,2)</x:f>
        <x:v>0</x:v>
      </x:c>
      <x:c r="N175" s="21" t="n">
        <x:f>ROUND(MAX(0,L175*12-'تنظیمات'!$B$11)/12*'تنظیمات'!$B$12,2)</x:f>
        <x:v>0</x:v>
      </x:c>
      <x:c r="O175" s="21" t="n">
        <x:f>ROUND(L175*'تنظیمات'!$B$13,2)</x:f>
        <x:v>0</x:v>
      </x:c>
      <x:c r="P175" s="21" t="n">
        <x:f>ROUND((MIN(L175*12,'تنظیمات'!$B$17)*'تنظیمات'!$B$18+MAX(0,MIN(L175*12,'تنظیمات'!$B$19)-'تنظیمات'!$B$17)*'تنظیمات'!$B$20)/12,2)</x:f>
        <x:v>0</x:v>
      </x:c>
      <x:c r="Q175" s="21" t="n">
        <x:f>ROUND(MIN(L175*12,'تنظیمات'!$B$21)*'تنظیمات'!$B$22/12,2)</x:f>
        <x:v>0</x:v>
      </x:c>
      <x:c r="R175" s="21" t="n">
        <x:f>ROUND(MIN('تنظیمات'!$B$16,MAX(0,L175*12-'تنظیمات'!$B$14)*'تنظیمات'!$B$15)/12,2)</x:f>
        <x:v>0</x:v>
      </x:c>
      <x:c r="S175" s="21" t="n">
        <x:f>SUM(M175:R175)</x:f>
        <x:v>0</x:v>
      </x:c>
      <x:c r="T175" s="21" t="n">
        <x:f>L175-S175</x:f>
        <x:v>0</x:v>
      </x:c>
      <x:c r="U175" s="22" t="n">
        <x:f>'تنظیمات'!$B$5</x:f>
        <x:v>46266</x:v>
      </x:c>
      <x:c r="V175" s="22" t="n">
        <x:f>'تنظیمات'!$B$6</x:f>
        <x:v>46295</x:v>
      </x:c>
      <x:c r="W175" s="17" t="str">
        <x:f>IF(AND(A175&lt;&gt;"",T175&gt;=0),"OK","بررسی شود")</x:f>
        <x:v>بررسی شود</x:v>
      </x:c>
    </x:row>
    <x:row r="176">
      <x:c r="A176" s="13"/>
      <x:c r="B176" s="17" t="str">
        <x:f>IFERROR(VLOOKUP(A176,'کارمندان'!$A$5:$H$205,2,FALSE),"")</x:f>
      </x:c>
      <x:c r="C176" s="21" t="str">
        <x:f>IFERROR(VLOOKUP(A176,'کارمندان'!$A$5:$H$205,5,FALSE),0)</x:f>
      </x:c>
      <x:c r="D176" s="20" t="n">
        <x:f>SUMIFS('حضور و غیاب'!$J$5:$J$205,'حضور و غیاب'!$B$5:$B$205,$A176,'حضور و غیاب'!$A$5:$A$205,"&gt;="&amp;'تنظیمات'!$B$5,'حضور و غیاب'!$A$5:$A$205,"&lt;="&amp;'تنظیمات'!$B$6)</x:f>
        <x:v>0</x:v>
      </x:c>
      <x:c r="E176" s="20" t="n">
        <x:f>SUMIFS('حضور و غیاب'!$K$5:$K$205,'حضور و غیاب'!$B$5:$B$205,$A176,'حضور و غیاب'!$A$5:$A$205,"&gt;="&amp;'تنظیمات'!$B$5,'حضور و غیاب'!$A$5:$A$205,"&lt;="&amp;'تنظیمات'!$B$6)</x:f>
        <x:v>0</x:v>
      </x:c>
      <x:c r="F176" s="20" t="n">
        <x:f>SUMIFS('حضور و غیاب'!$G$5:$G$205,'حضور و غیاب'!$B$5:$B$205,$A176,'حضور و غیاب'!$F$5:$F$205,"Paid",'حضور و غیاب'!$A$5:$A$205,"&gt;="&amp;'تنظیمات'!$B$5,'حضور و غیاب'!$A$5:$A$205,"&lt;="&amp;'تنظیمات'!$B$6)</x:f>
        <x:v>0</x:v>
      </x:c>
      <x:c r="G176" s="20" t="n">
        <x:f>SUMIFS('حضور و غیاب'!$L$5:$L$205,'حضور و غیاب'!$B$5:$B$205,$A176,'حضور و غیاب'!$A$5:$A$205,"&gt;="&amp;'تنظیمات'!$B$5,'حضور و غیاب'!$A$5:$A$205,"&lt;="&amp;'تنظیمات'!$B$6)</x:f>
        <x:v>0</x:v>
      </x:c>
      <x:c r="H176" s="21" t="n">
        <x:f>ROUND(C176*D176,2)</x:f>
        <x:v>0</x:v>
      </x:c>
      <x:c r="I176" s="21" t="n">
        <x:f>ROUND(C176*E176*'تنظیمات'!$B$7,2)</x:f>
        <x:v>0</x:v>
      </x:c>
      <x:c r="J176" s="21" t="n">
        <x:f>ROUND(C176*F176,2)</x:f>
        <x:v>0</x:v>
      </x:c>
      <x:c r="K176" s="21" t="n">
        <x:f>ROUND((H176+I176+J176)*'تنظیمات'!$B$8,2)</x:f>
        <x:v>0</x:v>
      </x:c>
      <x:c r="L176" s="21" t="n">
        <x:f>SUM(H176:K176)</x:f>
        <x:v>0</x:v>
      </x:c>
      <x:c r="M176" s="21" t="n">
        <x:f>ROUND(MAX(0,L176-'تنظیمات'!$B$9)*'تنظیمات'!$B$10,2)</x:f>
        <x:v>0</x:v>
      </x:c>
      <x:c r="N176" s="21" t="n">
        <x:f>ROUND(MAX(0,L176*12-'تنظیمات'!$B$11)/12*'تنظیمات'!$B$12,2)</x:f>
        <x:v>0</x:v>
      </x:c>
      <x:c r="O176" s="21" t="n">
        <x:f>ROUND(L176*'تنظیمات'!$B$13,2)</x:f>
        <x:v>0</x:v>
      </x:c>
      <x:c r="P176" s="21" t="n">
        <x:f>ROUND((MIN(L176*12,'تنظیمات'!$B$17)*'تنظیمات'!$B$18+MAX(0,MIN(L176*12,'تنظیمات'!$B$19)-'تنظیمات'!$B$17)*'تنظیمات'!$B$20)/12,2)</x:f>
        <x:v>0</x:v>
      </x:c>
      <x:c r="Q176" s="21" t="n">
        <x:f>ROUND(MIN(L176*12,'تنظیمات'!$B$21)*'تنظیمات'!$B$22/12,2)</x:f>
        <x:v>0</x:v>
      </x:c>
      <x:c r="R176" s="21" t="n">
        <x:f>ROUND(MIN('تنظیمات'!$B$16,MAX(0,L176*12-'تنظیمات'!$B$14)*'تنظیمات'!$B$15)/12,2)</x:f>
        <x:v>0</x:v>
      </x:c>
      <x:c r="S176" s="21" t="n">
        <x:f>SUM(M176:R176)</x:f>
        <x:v>0</x:v>
      </x:c>
      <x:c r="T176" s="21" t="n">
        <x:f>L176-S176</x:f>
        <x:v>0</x:v>
      </x:c>
      <x:c r="U176" s="22" t="n">
        <x:f>'تنظیمات'!$B$5</x:f>
        <x:v>46266</x:v>
      </x:c>
      <x:c r="V176" s="22" t="n">
        <x:f>'تنظیمات'!$B$6</x:f>
        <x:v>46295</x:v>
      </x:c>
      <x:c r="W176" s="17" t="str">
        <x:f>IF(AND(A176&lt;&gt;"",T176&gt;=0),"OK","بررسی شود")</x:f>
        <x:v>بررسی شود</x:v>
      </x:c>
    </x:row>
    <x:row r="177">
      <x:c r="A177" s="13"/>
      <x:c r="B177" s="17" t="str">
        <x:f>IFERROR(VLOOKUP(A177,'کارمندان'!$A$5:$H$205,2,FALSE),"")</x:f>
      </x:c>
      <x:c r="C177" s="21" t="str">
        <x:f>IFERROR(VLOOKUP(A177,'کارمندان'!$A$5:$H$205,5,FALSE),0)</x:f>
      </x:c>
      <x:c r="D177" s="20" t="n">
        <x:f>SUMIFS('حضور و غیاب'!$J$5:$J$205,'حضور و غیاب'!$B$5:$B$205,$A177,'حضور و غیاب'!$A$5:$A$205,"&gt;="&amp;'تنظیمات'!$B$5,'حضور و غیاب'!$A$5:$A$205,"&lt;="&amp;'تنظیمات'!$B$6)</x:f>
        <x:v>0</x:v>
      </x:c>
      <x:c r="E177" s="20" t="n">
        <x:f>SUMIFS('حضور و غیاب'!$K$5:$K$205,'حضور و غیاب'!$B$5:$B$205,$A177,'حضور و غیاب'!$A$5:$A$205,"&gt;="&amp;'تنظیمات'!$B$5,'حضور و غیاب'!$A$5:$A$205,"&lt;="&amp;'تنظیمات'!$B$6)</x:f>
        <x:v>0</x:v>
      </x:c>
      <x:c r="F177" s="20" t="n">
        <x:f>SUMIFS('حضور و غیاب'!$G$5:$G$205,'حضور و غیاب'!$B$5:$B$205,$A177,'حضور و غیاب'!$F$5:$F$205,"Paid",'حضور و غیاب'!$A$5:$A$205,"&gt;="&amp;'تنظیمات'!$B$5,'حضور و غیاب'!$A$5:$A$205,"&lt;="&amp;'تنظیمات'!$B$6)</x:f>
        <x:v>0</x:v>
      </x:c>
      <x:c r="G177" s="20" t="n">
        <x:f>SUMIFS('حضور و غیاب'!$L$5:$L$205,'حضور و غیاب'!$B$5:$B$205,$A177,'حضور و غیاب'!$A$5:$A$205,"&gt;="&amp;'تنظیمات'!$B$5,'حضور و غیاب'!$A$5:$A$205,"&lt;="&amp;'تنظیمات'!$B$6)</x:f>
        <x:v>0</x:v>
      </x:c>
      <x:c r="H177" s="21" t="n">
        <x:f>ROUND(C177*D177,2)</x:f>
        <x:v>0</x:v>
      </x:c>
      <x:c r="I177" s="21" t="n">
        <x:f>ROUND(C177*E177*'تنظیمات'!$B$7,2)</x:f>
        <x:v>0</x:v>
      </x:c>
      <x:c r="J177" s="21" t="n">
        <x:f>ROUND(C177*F177,2)</x:f>
        <x:v>0</x:v>
      </x:c>
      <x:c r="K177" s="21" t="n">
        <x:f>ROUND((H177+I177+J177)*'تنظیمات'!$B$8,2)</x:f>
        <x:v>0</x:v>
      </x:c>
      <x:c r="L177" s="21" t="n">
        <x:f>SUM(H177:K177)</x:f>
        <x:v>0</x:v>
      </x:c>
      <x:c r="M177" s="21" t="n">
        <x:f>ROUND(MAX(0,L177-'تنظیمات'!$B$9)*'تنظیمات'!$B$10,2)</x:f>
        <x:v>0</x:v>
      </x:c>
      <x:c r="N177" s="21" t="n">
        <x:f>ROUND(MAX(0,L177*12-'تنظیمات'!$B$11)/12*'تنظیمات'!$B$12,2)</x:f>
        <x:v>0</x:v>
      </x:c>
      <x:c r="O177" s="21" t="n">
        <x:f>ROUND(L177*'تنظیمات'!$B$13,2)</x:f>
        <x:v>0</x:v>
      </x:c>
      <x:c r="P177" s="21" t="n">
        <x:f>ROUND((MIN(L177*12,'تنظیمات'!$B$17)*'تنظیمات'!$B$18+MAX(0,MIN(L177*12,'تنظیمات'!$B$19)-'تنظیمات'!$B$17)*'تنظیمات'!$B$20)/12,2)</x:f>
        <x:v>0</x:v>
      </x:c>
      <x:c r="Q177" s="21" t="n">
        <x:f>ROUND(MIN(L177*12,'تنظیمات'!$B$21)*'تنظیمات'!$B$22/12,2)</x:f>
        <x:v>0</x:v>
      </x:c>
      <x:c r="R177" s="21" t="n">
        <x:f>ROUND(MIN('تنظیمات'!$B$16,MAX(0,L177*12-'تنظیمات'!$B$14)*'تنظیمات'!$B$15)/12,2)</x:f>
        <x:v>0</x:v>
      </x:c>
      <x:c r="S177" s="21" t="n">
        <x:f>SUM(M177:R177)</x:f>
        <x:v>0</x:v>
      </x:c>
      <x:c r="T177" s="21" t="n">
        <x:f>L177-S177</x:f>
        <x:v>0</x:v>
      </x:c>
      <x:c r="U177" s="22" t="n">
        <x:f>'تنظیمات'!$B$5</x:f>
        <x:v>46266</x:v>
      </x:c>
      <x:c r="V177" s="22" t="n">
        <x:f>'تنظیمات'!$B$6</x:f>
        <x:v>46295</x:v>
      </x:c>
      <x:c r="W177" s="17" t="str">
        <x:f>IF(AND(A177&lt;&gt;"",T177&gt;=0),"OK","بررسی شود")</x:f>
        <x:v>بررسی شود</x:v>
      </x:c>
    </x:row>
    <x:row r="178">
      <x:c r="A178" s="13"/>
      <x:c r="B178" s="17" t="str">
        <x:f>IFERROR(VLOOKUP(A178,'کارمندان'!$A$5:$H$205,2,FALSE),"")</x:f>
      </x:c>
      <x:c r="C178" s="21" t="str">
        <x:f>IFERROR(VLOOKUP(A178,'کارمندان'!$A$5:$H$205,5,FALSE),0)</x:f>
      </x:c>
      <x:c r="D178" s="20" t="n">
        <x:f>SUMIFS('حضور و غیاب'!$J$5:$J$205,'حضور و غیاب'!$B$5:$B$205,$A178,'حضور و غیاب'!$A$5:$A$205,"&gt;="&amp;'تنظیمات'!$B$5,'حضور و غیاب'!$A$5:$A$205,"&lt;="&amp;'تنظیمات'!$B$6)</x:f>
        <x:v>0</x:v>
      </x:c>
      <x:c r="E178" s="20" t="n">
        <x:f>SUMIFS('حضور و غیاب'!$K$5:$K$205,'حضور و غیاب'!$B$5:$B$205,$A178,'حضور و غیاب'!$A$5:$A$205,"&gt;="&amp;'تنظیمات'!$B$5,'حضور و غیاب'!$A$5:$A$205,"&lt;="&amp;'تنظیمات'!$B$6)</x:f>
        <x:v>0</x:v>
      </x:c>
      <x:c r="F178" s="20" t="n">
        <x:f>SUMIFS('حضور و غیاب'!$G$5:$G$205,'حضور و غیاب'!$B$5:$B$205,$A178,'حضور و غیاب'!$F$5:$F$205,"Paid",'حضور و غیاب'!$A$5:$A$205,"&gt;="&amp;'تنظیمات'!$B$5,'حضور و غیاب'!$A$5:$A$205,"&lt;="&amp;'تنظیمات'!$B$6)</x:f>
        <x:v>0</x:v>
      </x:c>
      <x:c r="G178" s="20" t="n">
        <x:f>SUMIFS('حضور و غیاب'!$L$5:$L$205,'حضور و غیاب'!$B$5:$B$205,$A178,'حضور و غیاب'!$A$5:$A$205,"&gt;="&amp;'تنظیمات'!$B$5,'حضور و غیاب'!$A$5:$A$205,"&lt;="&amp;'تنظیمات'!$B$6)</x:f>
        <x:v>0</x:v>
      </x:c>
      <x:c r="H178" s="21" t="n">
        <x:f>ROUND(C178*D178,2)</x:f>
        <x:v>0</x:v>
      </x:c>
      <x:c r="I178" s="21" t="n">
        <x:f>ROUND(C178*E178*'تنظیمات'!$B$7,2)</x:f>
        <x:v>0</x:v>
      </x:c>
      <x:c r="J178" s="21" t="n">
        <x:f>ROUND(C178*F178,2)</x:f>
        <x:v>0</x:v>
      </x:c>
      <x:c r="K178" s="21" t="n">
        <x:f>ROUND((H178+I178+J178)*'تنظیمات'!$B$8,2)</x:f>
        <x:v>0</x:v>
      </x:c>
      <x:c r="L178" s="21" t="n">
        <x:f>SUM(H178:K178)</x:f>
        <x:v>0</x:v>
      </x:c>
      <x:c r="M178" s="21" t="n">
        <x:f>ROUND(MAX(0,L178-'تنظیمات'!$B$9)*'تنظیمات'!$B$10,2)</x:f>
        <x:v>0</x:v>
      </x:c>
      <x:c r="N178" s="21" t="n">
        <x:f>ROUND(MAX(0,L178*12-'تنظیمات'!$B$11)/12*'تنظیمات'!$B$12,2)</x:f>
        <x:v>0</x:v>
      </x:c>
      <x:c r="O178" s="21" t="n">
        <x:f>ROUND(L178*'تنظیمات'!$B$13,2)</x:f>
        <x:v>0</x:v>
      </x:c>
      <x:c r="P178" s="21" t="n">
        <x:f>ROUND((MIN(L178*12,'تنظیمات'!$B$17)*'تنظیمات'!$B$18+MAX(0,MIN(L178*12,'تنظیمات'!$B$19)-'تنظیمات'!$B$17)*'تنظیمات'!$B$20)/12,2)</x:f>
        <x:v>0</x:v>
      </x:c>
      <x:c r="Q178" s="21" t="n">
        <x:f>ROUND(MIN(L178*12,'تنظیمات'!$B$21)*'تنظیمات'!$B$22/12,2)</x:f>
        <x:v>0</x:v>
      </x:c>
      <x:c r="R178" s="21" t="n">
        <x:f>ROUND(MIN('تنظیمات'!$B$16,MAX(0,L178*12-'تنظیمات'!$B$14)*'تنظیمات'!$B$15)/12,2)</x:f>
        <x:v>0</x:v>
      </x:c>
      <x:c r="S178" s="21" t="n">
        <x:f>SUM(M178:R178)</x:f>
        <x:v>0</x:v>
      </x:c>
      <x:c r="T178" s="21" t="n">
        <x:f>L178-S178</x:f>
        <x:v>0</x:v>
      </x:c>
      <x:c r="U178" s="22" t="n">
        <x:f>'تنظیمات'!$B$5</x:f>
        <x:v>46266</x:v>
      </x:c>
      <x:c r="V178" s="22" t="n">
        <x:f>'تنظیمات'!$B$6</x:f>
        <x:v>46295</x:v>
      </x:c>
      <x:c r="W178" s="17" t="str">
        <x:f>IF(AND(A178&lt;&gt;"",T178&gt;=0),"OK","بررسی شود")</x:f>
        <x:v>بررسی شود</x:v>
      </x:c>
    </x:row>
    <x:row r="179">
      <x:c r="A179" s="13"/>
      <x:c r="B179" s="17" t="str">
        <x:f>IFERROR(VLOOKUP(A179,'کارمندان'!$A$5:$H$205,2,FALSE),"")</x:f>
      </x:c>
      <x:c r="C179" s="21" t="str">
        <x:f>IFERROR(VLOOKUP(A179,'کارمندان'!$A$5:$H$205,5,FALSE),0)</x:f>
      </x:c>
      <x:c r="D179" s="20" t="n">
        <x:f>SUMIFS('حضور و غیاب'!$J$5:$J$205,'حضور و غیاب'!$B$5:$B$205,$A179,'حضور و غیاب'!$A$5:$A$205,"&gt;="&amp;'تنظیمات'!$B$5,'حضور و غیاب'!$A$5:$A$205,"&lt;="&amp;'تنظیمات'!$B$6)</x:f>
        <x:v>0</x:v>
      </x:c>
      <x:c r="E179" s="20" t="n">
        <x:f>SUMIFS('حضور و غیاب'!$K$5:$K$205,'حضور و غیاب'!$B$5:$B$205,$A179,'حضور و غیاب'!$A$5:$A$205,"&gt;="&amp;'تنظیمات'!$B$5,'حضور و غیاب'!$A$5:$A$205,"&lt;="&amp;'تنظیمات'!$B$6)</x:f>
        <x:v>0</x:v>
      </x:c>
      <x:c r="F179" s="20" t="n">
        <x:f>SUMIFS('حضور و غیاب'!$G$5:$G$205,'حضور و غیاب'!$B$5:$B$205,$A179,'حضور و غیاب'!$F$5:$F$205,"Paid",'حضور و غیاب'!$A$5:$A$205,"&gt;="&amp;'تنظیمات'!$B$5,'حضور و غیاب'!$A$5:$A$205,"&lt;="&amp;'تنظیمات'!$B$6)</x:f>
        <x:v>0</x:v>
      </x:c>
      <x:c r="G179" s="20" t="n">
        <x:f>SUMIFS('حضور و غیاب'!$L$5:$L$205,'حضور و غیاب'!$B$5:$B$205,$A179,'حضور و غیاب'!$A$5:$A$205,"&gt;="&amp;'تنظیمات'!$B$5,'حضور و غیاب'!$A$5:$A$205,"&lt;="&amp;'تنظیمات'!$B$6)</x:f>
        <x:v>0</x:v>
      </x:c>
      <x:c r="H179" s="21" t="n">
        <x:f>ROUND(C179*D179,2)</x:f>
        <x:v>0</x:v>
      </x:c>
      <x:c r="I179" s="21" t="n">
        <x:f>ROUND(C179*E179*'تنظیمات'!$B$7,2)</x:f>
        <x:v>0</x:v>
      </x:c>
      <x:c r="J179" s="21" t="n">
        <x:f>ROUND(C179*F179,2)</x:f>
        <x:v>0</x:v>
      </x:c>
      <x:c r="K179" s="21" t="n">
        <x:f>ROUND((H179+I179+J179)*'تنظیمات'!$B$8,2)</x:f>
        <x:v>0</x:v>
      </x:c>
      <x:c r="L179" s="21" t="n">
        <x:f>SUM(H179:K179)</x:f>
        <x:v>0</x:v>
      </x:c>
      <x:c r="M179" s="21" t="n">
        <x:f>ROUND(MAX(0,L179-'تنظیمات'!$B$9)*'تنظیمات'!$B$10,2)</x:f>
        <x:v>0</x:v>
      </x:c>
      <x:c r="N179" s="21" t="n">
        <x:f>ROUND(MAX(0,L179*12-'تنظیمات'!$B$11)/12*'تنظیمات'!$B$12,2)</x:f>
        <x:v>0</x:v>
      </x:c>
      <x:c r="O179" s="21" t="n">
        <x:f>ROUND(L179*'تنظیمات'!$B$13,2)</x:f>
        <x:v>0</x:v>
      </x:c>
      <x:c r="P179" s="21" t="n">
        <x:f>ROUND((MIN(L179*12,'تنظیمات'!$B$17)*'تنظیمات'!$B$18+MAX(0,MIN(L179*12,'تنظیمات'!$B$19)-'تنظیمات'!$B$17)*'تنظیمات'!$B$20)/12,2)</x:f>
        <x:v>0</x:v>
      </x:c>
      <x:c r="Q179" s="21" t="n">
        <x:f>ROUND(MIN(L179*12,'تنظیمات'!$B$21)*'تنظیمات'!$B$22/12,2)</x:f>
        <x:v>0</x:v>
      </x:c>
      <x:c r="R179" s="21" t="n">
        <x:f>ROUND(MIN('تنظیمات'!$B$16,MAX(0,L179*12-'تنظیمات'!$B$14)*'تنظیمات'!$B$15)/12,2)</x:f>
        <x:v>0</x:v>
      </x:c>
      <x:c r="S179" s="21" t="n">
        <x:f>SUM(M179:R179)</x:f>
        <x:v>0</x:v>
      </x:c>
      <x:c r="T179" s="21" t="n">
        <x:f>L179-S179</x:f>
        <x:v>0</x:v>
      </x:c>
      <x:c r="U179" s="22" t="n">
        <x:f>'تنظیمات'!$B$5</x:f>
        <x:v>46266</x:v>
      </x:c>
      <x:c r="V179" s="22" t="n">
        <x:f>'تنظیمات'!$B$6</x:f>
        <x:v>46295</x:v>
      </x:c>
      <x:c r="W179" s="17" t="str">
        <x:f>IF(AND(A179&lt;&gt;"",T179&gt;=0),"OK","بررسی شود")</x:f>
        <x:v>بررسی شود</x:v>
      </x:c>
    </x:row>
    <x:row r="180">
      <x:c r="A180" s="13"/>
      <x:c r="B180" s="17" t="str">
        <x:f>IFERROR(VLOOKUP(A180,'کارمندان'!$A$5:$H$205,2,FALSE),"")</x:f>
      </x:c>
      <x:c r="C180" s="21" t="str">
        <x:f>IFERROR(VLOOKUP(A180,'کارمندان'!$A$5:$H$205,5,FALSE),0)</x:f>
      </x:c>
      <x:c r="D180" s="20" t="n">
        <x:f>SUMIFS('حضور و غیاب'!$J$5:$J$205,'حضور و غیاب'!$B$5:$B$205,$A180,'حضور و غیاب'!$A$5:$A$205,"&gt;="&amp;'تنظیمات'!$B$5,'حضور و غیاب'!$A$5:$A$205,"&lt;="&amp;'تنظیمات'!$B$6)</x:f>
        <x:v>0</x:v>
      </x:c>
      <x:c r="E180" s="20" t="n">
        <x:f>SUMIFS('حضور و غیاب'!$K$5:$K$205,'حضور و غیاب'!$B$5:$B$205,$A180,'حضور و غیاب'!$A$5:$A$205,"&gt;="&amp;'تنظیمات'!$B$5,'حضور و غیاب'!$A$5:$A$205,"&lt;="&amp;'تنظیمات'!$B$6)</x:f>
        <x:v>0</x:v>
      </x:c>
      <x:c r="F180" s="20" t="n">
        <x:f>SUMIFS('حضور و غیاب'!$G$5:$G$205,'حضور و غیاب'!$B$5:$B$205,$A180,'حضور و غیاب'!$F$5:$F$205,"Paid",'حضور و غیاب'!$A$5:$A$205,"&gt;="&amp;'تنظیمات'!$B$5,'حضور و غیاب'!$A$5:$A$205,"&lt;="&amp;'تنظیمات'!$B$6)</x:f>
        <x:v>0</x:v>
      </x:c>
      <x:c r="G180" s="20" t="n">
        <x:f>SUMIFS('حضور و غیاب'!$L$5:$L$205,'حضور و غیاب'!$B$5:$B$205,$A180,'حضور و غیاب'!$A$5:$A$205,"&gt;="&amp;'تنظیمات'!$B$5,'حضور و غیاب'!$A$5:$A$205,"&lt;="&amp;'تنظیمات'!$B$6)</x:f>
        <x:v>0</x:v>
      </x:c>
      <x:c r="H180" s="21" t="n">
        <x:f>ROUND(C180*D180,2)</x:f>
        <x:v>0</x:v>
      </x:c>
      <x:c r="I180" s="21" t="n">
        <x:f>ROUND(C180*E180*'تنظیمات'!$B$7,2)</x:f>
        <x:v>0</x:v>
      </x:c>
      <x:c r="J180" s="21" t="n">
        <x:f>ROUND(C180*F180,2)</x:f>
        <x:v>0</x:v>
      </x:c>
      <x:c r="K180" s="21" t="n">
        <x:f>ROUND((H180+I180+J180)*'تنظیمات'!$B$8,2)</x:f>
        <x:v>0</x:v>
      </x:c>
      <x:c r="L180" s="21" t="n">
        <x:f>SUM(H180:K180)</x:f>
        <x:v>0</x:v>
      </x:c>
      <x:c r="M180" s="21" t="n">
        <x:f>ROUND(MAX(0,L180-'تنظیمات'!$B$9)*'تنظیمات'!$B$10,2)</x:f>
        <x:v>0</x:v>
      </x:c>
      <x:c r="N180" s="21" t="n">
        <x:f>ROUND(MAX(0,L180*12-'تنظیمات'!$B$11)/12*'تنظیمات'!$B$12,2)</x:f>
        <x:v>0</x:v>
      </x:c>
      <x:c r="O180" s="21" t="n">
        <x:f>ROUND(L180*'تنظیمات'!$B$13,2)</x:f>
        <x:v>0</x:v>
      </x:c>
      <x:c r="P180" s="21" t="n">
        <x:f>ROUND((MIN(L180*12,'تنظیمات'!$B$17)*'تنظیمات'!$B$18+MAX(0,MIN(L180*12,'تنظیمات'!$B$19)-'تنظیمات'!$B$17)*'تنظیمات'!$B$20)/12,2)</x:f>
        <x:v>0</x:v>
      </x:c>
      <x:c r="Q180" s="21" t="n">
        <x:f>ROUND(MIN(L180*12,'تنظیمات'!$B$21)*'تنظیمات'!$B$22/12,2)</x:f>
        <x:v>0</x:v>
      </x:c>
      <x:c r="R180" s="21" t="n">
        <x:f>ROUND(MIN('تنظیمات'!$B$16,MAX(0,L180*12-'تنظیمات'!$B$14)*'تنظیمات'!$B$15)/12,2)</x:f>
        <x:v>0</x:v>
      </x:c>
      <x:c r="S180" s="21" t="n">
        <x:f>SUM(M180:R180)</x:f>
        <x:v>0</x:v>
      </x:c>
      <x:c r="T180" s="21" t="n">
        <x:f>L180-S180</x:f>
        <x:v>0</x:v>
      </x:c>
      <x:c r="U180" s="22" t="n">
        <x:f>'تنظیمات'!$B$5</x:f>
        <x:v>46266</x:v>
      </x:c>
      <x:c r="V180" s="22" t="n">
        <x:f>'تنظیمات'!$B$6</x:f>
        <x:v>46295</x:v>
      </x:c>
      <x:c r="W180" s="17" t="str">
        <x:f>IF(AND(A180&lt;&gt;"",T180&gt;=0),"OK","بررسی شود")</x:f>
        <x:v>بررسی شود</x:v>
      </x:c>
    </x:row>
    <x:row r="181">
      <x:c r="A181" s="13"/>
      <x:c r="B181" s="17" t="str">
        <x:f>IFERROR(VLOOKUP(A181,'کارمندان'!$A$5:$H$205,2,FALSE),"")</x:f>
      </x:c>
      <x:c r="C181" s="21" t="str">
        <x:f>IFERROR(VLOOKUP(A181,'کارمندان'!$A$5:$H$205,5,FALSE),0)</x:f>
      </x:c>
      <x:c r="D181" s="20" t="n">
        <x:f>SUMIFS('حضور و غیاب'!$J$5:$J$205,'حضور و غیاب'!$B$5:$B$205,$A181,'حضور و غیاب'!$A$5:$A$205,"&gt;="&amp;'تنظیمات'!$B$5,'حضور و غیاب'!$A$5:$A$205,"&lt;="&amp;'تنظیمات'!$B$6)</x:f>
        <x:v>0</x:v>
      </x:c>
      <x:c r="E181" s="20" t="n">
        <x:f>SUMIFS('حضور و غیاب'!$K$5:$K$205,'حضور و غیاب'!$B$5:$B$205,$A181,'حضور و غیاب'!$A$5:$A$205,"&gt;="&amp;'تنظیمات'!$B$5,'حضور و غیاب'!$A$5:$A$205,"&lt;="&amp;'تنظیمات'!$B$6)</x:f>
        <x:v>0</x:v>
      </x:c>
      <x:c r="F181" s="20" t="n">
        <x:f>SUMIFS('حضور و غیاب'!$G$5:$G$205,'حضور و غیاب'!$B$5:$B$205,$A181,'حضور و غیاب'!$F$5:$F$205,"Paid",'حضور و غیاب'!$A$5:$A$205,"&gt;="&amp;'تنظیمات'!$B$5,'حضور و غیاب'!$A$5:$A$205,"&lt;="&amp;'تنظیمات'!$B$6)</x:f>
        <x:v>0</x:v>
      </x:c>
      <x:c r="G181" s="20" t="n">
        <x:f>SUMIFS('حضور و غیاب'!$L$5:$L$205,'حضور و غیاب'!$B$5:$B$205,$A181,'حضور و غیاب'!$A$5:$A$205,"&gt;="&amp;'تنظیمات'!$B$5,'حضور و غیاب'!$A$5:$A$205,"&lt;="&amp;'تنظیمات'!$B$6)</x:f>
        <x:v>0</x:v>
      </x:c>
      <x:c r="H181" s="21" t="n">
        <x:f>ROUND(C181*D181,2)</x:f>
        <x:v>0</x:v>
      </x:c>
      <x:c r="I181" s="21" t="n">
        <x:f>ROUND(C181*E181*'تنظیمات'!$B$7,2)</x:f>
        <x:v>0</x:v>
      </x:c>
      <x:c r="J181" s="21" t="n">
        <x:f>ROUND(C181*F181,2)</x:f>
        <x:v>0</x:v>
      </x:c>
      <x:c r="K181" s="21" t="n">
        <x:f>ROUND((H181+I181+J181)*'تنظیمات'!$B$8,2)</x:f>
        <x:v>0</x:v>
      </x:c>
      <x:c r="L181" s="21" t="n">
        <x:f>SUM(H181:K181)</x:f>
        <x:v>0</x:v>
      </x:c>
      <x:c r="M181" s="21" t="n">
        <x:f>ROUND(MAX(0,L181-'تنظیمات'!$B$9)*'تنظیمات'!$B$10,2)</x:f>
        <x:v>0</x:v>
      </x:c>
      <x:c r="N181" s="21" t="n">
        <x:f>ROUND(MAX(0,L181*12-'تنظیمات'!$B$11)/12*'تنظیمات'!$B$12,2)</x:f>
        <x:v>0</x:v>
      </x:c>
      <x:c r="O181" s="21" t="n">
        <x:f>ROUND(L181*'تنظیمات'!$B$13,2)</x:f>
        <x:v>0</x:v>
      </x:c>
      <x:c r="P181" s="21" t="n">
        <x:f>ROUND((MIN(L181*12,'تنظیمات'!$B$17)*'تنظیمات'!$B$18+MAX(0,MIN(L181*12,'تنظیمات'!$B$19)-'تنظیمات'!$B$17)*'تنظیمات'!$B$20)/12,2)</x:f>
        <x:v>0</x:v>
      </x:c>
      <x:c r="Q181" s="21" t="n">
        <x:f>ROUND(MIN(L181*12,'تنظیمات'!$B$21)*'تنظیمات'!$B$22/12,2)</x:f>
        <x:v>0</x:v>
      </x:c>
      <x:c r="R181" s="21" t="n">
        <x:f>ROUND(MIN('تنظیمات'!$B$16,MAX(0,L181*12-'تنظیمات'!$B$14)*'تنظیمات'!$B$15)/12,2)</x:f>
        <x:v>0</x:v>
      </x:c>
      <x:c r="S181" s="21" t="n">
        <x:f>SUM(M181:R181)</x:f>
        <x:v>0</x:v>
      </x:c>
      <x:c r="T181" s="21" t="n">
        <x:f>L181-S181</x:f>
        <x:v>0</x:v>
      </x:c>
      <x:c r="U181" s="22" t="n">
        <x:f>'تنظیمات'!$B$5</x:f>
        <x:v>46266</x:v>
      </x:c>
      <x:c r="V181" s="22" t="n">
        <x:f>'تنظیمات'!$B$6</x:f>
        <x:v>46295</x:v>
      </x:c>
      <x:c r="W181" s="17" t="str">
        <x:f>IF(AND(A181&lt;&gt;"",T181&gt;=0),"OK","بررسی شود")</x:f>
        <x:v>بررسی شود</x:v>
      </x:c>
    </x:row>
    <x:row r="182">
      <x:c r="A182" s="13"/>
      <x:c r="B182" s="17" t="str">
        <x:f>IFERROR(VLOOKUP(A182,'کارمندان'!$A$5:$H$205,2,FALSE),"")</x:f>
      </x:c>
      <x:c r="C182" s="21" t="str">
        <x:f>IFERROR(VLOOKUP(A182,'کارمندان'!$A$5:$H$205,5,FALSE),0)</x:f>
      </x:c>
      <x:c r="D182" s="20" t="n">
        <x:f>SUMIFS('حضور و غیاب'!$J$5:$J$205,'حضور و غیاب'!$B$5:$B$205,$A182,'حضور و غیاب'!$A$5:$A$205,"&gt;="&amp;'تنظیمات'!$B$5,'حضور و غیاب'!$A$5:$A$205,"&lt;="&amp;'تنظیمات'!$B$6)</x:f>
        <x:v>0</x:v>
      </x:c>
      <x:c r="E182" s="20" t="n">
        <x:f>SUMIFS('حضور و غیاب'!$K$5:$K$205,'حضور و غیاب'!$B$5:$B$205,$A182,'حضور و غیاب'!$A$5:$A$205,"&gt;="&amp;'تنظیمات'!$B$5,'حضور و غیاب'!$A$5:$A$205,"&lt;="&amp;'تنظیمات'!$B$6)</x:f>
        <x:v>0</x:v>
      </x:c>
      <x:c r="F182" s="20" t="n">
        <x:f>SUMIFS('حضور و غیاب'!$G$5:$G$205,'حضور و غیاب'!$B$5:$B$205,$A182,'حضور و غیاب'!$F$5:$F$205,"Paid",'حضور و غیاب'!$A$5:$A$205,"&gt;="&amp;'تنظیمات'!$B$5,'حضور و غیاب'!$A$5:$A$205,"&lt;="&amp;'تنظیمات'!$B$6)</x:f>
        <x:v>0</x:v>
      </x:c>
      <x:c r="G182" s="20" t="n">
        <x:f>SUMIFS('حضور و غیاب'!$L$5:$L$205,'حضور و غیاب'!$B$5:$B$205,$A182,'حضور و غیاب'!$A$5:$A$205,"&gt;="&amp;'تنظیمات'!$B$5,'حضور و غیاب'!$A$5:$A$205,"&lt;="&amp;'تنظیمات'!$B$6)</x:f>
        <x:v>0</x:v>
      </x:c>
      <x:c r="H182" s="21" t="n">
        <x:f>ROUND(C182*D182,2)</x:f>
        <x:v>0</x:v>
      </x:c>
      <x:c r="I182" s="21" t="n">
        <x:f>ROUND(C182*E182*'تنظیمات'!$B$7,2)</x:f>
        <x:v>0</x:v>
      </x:c>
      <x:c r="J182" s="21" t="n">
        <x:f>ROUND(C182*F182,2)</x:f>
        <x:v>0</x:v>
      </x:c>
      <x:c r="K182" s="21" t="n">
        <x:f>ROUND((H182+I182+J182)*'تنظیمات'!$B$8,2)</x:f>
        <x:v>0</x:v>
      </x:c>
      <x:c r="L182" s="21" t="n">
        <x:f>SUM(H182:K182)</x:f>
        <x:v>0</x:v>
      </x:c>
      <x:c r="M182" s="21" t="n">
        <x:f>ROUND(MAX(0,L182-'تنظیمات'!$B$9)*'تنظیمات'!$B$10,2)</x:f>
        <x:v>0</x:v>
      </x:c>
      <x:c r="N182" s="21" t="n">
        <x:f>ROUND(MAX(0,L182*12-'تنظیمات'!$B$11)/12*'تنظیمات'!$B$12,2)</x:f>
        <x:v>0</x:v>
      </x:c>
      <x:c r="O182" s="21" t="n">
        <x:f>ROUND(L182*'تنظیمات'!$B$13,2)</x:f>
        <x:v>0</x:v>
      </x:c>
      <x:c r="P182" s="21" t="n">
        <x:f>ROUND((MIN(L182*12,'تنظیمات'!$B$17)*'تنظیمات'!$B$18+MAX(0,MIN(L182*12,'تنظیمات'!$B$19)-'تنظیمات'!$B$17)*'تنظیمات'!$B$20)/12,2)</x:f>
        <x:v>0</x:v>
      </x:c>
      <x:c r="Q182" s="21" t="n">
        <x:f>ROUND(MIN(L182*12,'تنظیمات'!$B$21)*'تنظیمات'!$B$22/12,2)</x:f>
        <x:v>0</x:v>
      </x:c>
      <x:c r="R182" s="21" t="n">
        <x:f>ROUND(MIN('تنظیمات'!$B$16,MAX(0,L182*12-'تنظیمات'!$B$14)*'تنظیمات'!$B$15)/12,2)</x:f>
        <x:v>0</x:v>
      </x:c>
      <x:c r="S182" s="21" t="n">
        <x:f>SUM(M182:R182)</x:f>
        <x:v>0</x:v>
      </x:c>
      <x:c r="T182" s="21" t="n">
        <x:f>L182-S182</x:f>
        <x:v>0</x:v>
      </x:c>
      <x:c r="U182" s="22" t="n">
        <x:f>'تنظیمات'!$B$5</x:f>
        <x:v>46266</x:v>
      </x:c>
      <x:c r="V182" s="22" t="n">
        <x:f>'تنظیمات'!$B$6</x:f>
        <x:v>46295</x:v>
      </x:c>
      <x:c r="W182" s="17" t="str">
        <x:f>IF(AND(A182&lt;&gt;"",T182&gt;=0),"OK","بررسی شود")</x:f>
        <x:v>بررسی شود</x:v>
      </x:c>
    </x:row>
    <x:row r="183">
      <x:c r="A183" s="13"/>
      <x:c r="B183" s="17" t="str">
        <x:f>IFERROR(VLOOKUP(A183,'کارمندان'!$A$5:$H$205,2,FALSE),"")</x:f>
      </x:c>
      <x:c r="C183" s="21" t="str">
        <x:f>IFERROR(VLOOKUP(A183,'کارمندان'!$A$5:$H$205,5,FALSE),0)</x:f>
      </x:c>
      <x:c r="D183" s="20" t="n">
        <x:f>SUMIFS('حضور و غیاب'!$J$5:$J$205,'حضور و غیاب'!$B$5:$B$205,$A183,'حضور و غیاب'!$A$5:$A$205,"&gt;="&amp;'تنظیمات'!$B$5,'حضور و غیاب'!$A$5:$A$205,"&lt;="&amp;'تنظیمات'!$B$6)</x:f>
        <x:v>0</x:v>
      </x:c>
      <x:c r="E183" s="20" t="n">
        <x:f>SUMIFS('حضور و غیاب'!$K$5:$K$205,'حضور و غیاب'!$B$5:$B$205,$A183,'حضور و غیاب'!$A$5:$A$205,"&gt;="&amp;'تنظیمات'!$B$5,'حضور و غیاب'!$A$5:$A$205,"&lt;="&amp;'تنظیمات'!$B$6)</x:f>
        <x:v>0</x:v>
      </x:c>
      <x:c r="F183" s="20" t="n">
        <x:f>SUMIFS('حضور و غیاب'!$G$5:$G$205,'حضور و غیاب'!$B$5:$B$205,$A183,'حضور و غیاب'!$F$5:$F$205,"Paid",'حضور و غیاب'!$A$5:$A$205,"&gt;="&amp;'تنظیمات'!$B$5,'حضور و غیاب'!$A$5:$A$205,"&lt;="&amp;'تنظیمات'!$B$6)</x:f>
        <x:v>0</x:v>
      </x:c>
      <x:c r="G183" s="20" t="n">
        <x:f>SUMIFS('حضور و غیاب'!$L$5:$L$205,'حضور و غیاب'!$B$5:$B$205,$A183,'حضور و غیاب'!$A$5:$A$205,"&gt;="&amp;'تنظیمات'!$B$5,'حضور و غیاب'!$A$5:$A$205,"&lt;="&amp;'تنظیمات'!$B$6)</x:f>
        <x:v>0</x:v>
      </x:c>
      <x:c r="H183" s="21" t="n">
        <x:f>ROUND(C183*D183,2)</x:f>
        <x:v>0</x:v>
      </x:c>
      <x:c r="I183" s="21" t="n">
        <x:f>ROUND(C183*E183*'تنظیمات'!$B$7,2)</x:f>
        <x:v>0</x:v>
      </x:c>
      <x:c r="J183" s="21" t="n">
        <x:f>ROUND(C183*F183,2)</x:f>
        <x:v>0</x:v>
      </x:c>
      <x:c r="K183" s="21" t="n">
        <x:f>ROUND((H183+I183+J183)*'تنظیمات'!$B$8,2)</x:f>
        <x:v>0</x:v>
      </x:c>
      <x:c r="L183" s="21" t="n">
        <x:f>SUM(H183:K183)</x:f>
        <x:v>0</x:v>
      </x:c>
      <x:c r="M183" s="21" t="n">
        <x:f>ROUND(MAX(0,L183-'تنظیمات'!$B$9)*'تنظیمات'!$B$10,2)</x:f>
        <x:v>0</x:v>
      </x:c>
      <x:c r="N183" s="21" t="n">
        <x:f>ROUND(MAX(0,L183*12-'تنظیمات'!$B$11)/12*'تنظیمات'!$B$12,2)</x:f>
        <x:v>0</x:v>
      </x:c>
      <x:c r="O183" s="21" t="n">
        <x:f>ROUND(L183*'تنظیمات'!$B$13,2)</x:f>
        <x:v>0</x:v>
      </x:c>
      <x:c r="P183" s="21" t="n">
        <x:f>ROUND((MIN(L183*12,'تنظیمات'!$B$17)*'تنظیمات'!$B$18+MAX(0,MIN(L183*12,'تنظیمات'!$B$19)-'تنظیمات'!$B$17)*'تنظیمات'!$B$20)/12,2)</x:f>
        <x:v>0</x:v>
      </x:c>
      <x:c r="Q183" s="21" t="n">
        <x:f>ROUND(MIN(L183*12,'تنظیمات'!$B$21)*'تنظیمات'!$B$22/12,2)</x:f>
        <x:v>0</x:v>
      </x:c>
      <x:c r="R183" s="21" t="n">
        <x:f>ROUND(MIN('تنظیمات'!$B$16,MAX(0,L183*12-'تنظیمات'!$B$14)*'تنظیمات'!$B$15)/12,2)</x:f>
        <x:v>0</x:v>
      </x:c>
      <x:c r="S183" s="21" t="n">
        <x:f>SUM(M183:R183)</x:f>
        <x:v>0</x:v>
      </x:c>
      <x:c r="T183" s="21" t="n">
        <x:f>L183-S183</x:f>
        <x:v>0</x:v>
      </x:c>
      <x:c r="U183" s="22" t="n">
        <x:f>'تنظیمات'!$B$5</x:f>
        <x:v>46266</x:v>
      </x:c>
      <x:c r="V183" s="22" t="n">
        <x:f>'تنظیمات'!$B$6</x:f>
        <x:v>46295</x:v>
      </x:c>
      <x:c r="W183" s="17" t="str">
        <x:f>IF(AND(A183&lt;&gt;"",T183&gt;=0),"OK","بررسی شود")</x:f>
        <x:v>بررسی شود</x:v>
      </x:c>
    </x:row>
    <x:row r="184">
      <x:c r="A184" s="13"/>
      <x:c r="B184" s="17" t="str">
        <x:f>IFERROR(VLOOKUP(A184,'کارمندان'!$A$5:$H$205,2,FALSE),"")</x:f>
      </x:c>
      <x:c r="C184" s="21" t="str">
        <x:f>IFERROR(VLOOKUP(A184,'کارمندان'!$A$5:$H$205,5,FALSE),0)</x:f>
      </x:c>
      <x:c r="D184" s="20" t="n">
        <x:f>SUMIFS('حضور و غیاب'!$J$5:$J$205,'حضور و غیاب'!$B$5:$B$205,$A184,'حضور و غیاب'!$A$5:$A$205,"&gt;="&amp;'تنظیمات'!$B$5,'حضور و غیاب'!$A$5:$A$205,"&lt;="&amp;'تنظیمات'!$B$6)</x:f>
        <x:v>0</x:v>
      </x:c>
      <x:c r="E184" s="20" t="n">
        <x:f>SUMIFS('حضور و غیاب'!$K$5:$K$205,'حضور و غیاب'!$B$5:$B$205,$A184,'حضور و غیاب'!$A$5:$A$205,"&gt;="&amp;'تنظیمات'!$B$5,'حضور و غیاب'!$A$5:$A$205,"&lt;="&amp;'تنظیمات'!$B$6)</x:f>
        <x:v>0</x:v>
      </x:c>
      <x:c r="F184" s="20" t="n">
        <x:f>SUMIFS('حضور و غیاب'!$G$5:$G$205,'حضور و غیاب'!$B$5:$B$205,$A184,'حضور و غیاب'!$F$5:$F$205,"Paid",'حضور و غیاب'!$A$5:$A$205,"&gt;="&amp;'تنظیمات'!$B$5,'حضور و غیاب'!$A$5:$A$205,"&lt;="&amp;'تنظیمات'!$B$6)</x:f>
        <x:v>0</x:v>
      </x:c>
      <x:c r="G184" s="20" t="n">
        <x:f>SUMIFS('حضور و غیاب'!$L$5:$L$205,'حضور و غیاب'!$B$5:$B$205,$A184,'حضور و غیاب'!$A$5:$A$205,"&gt;="&amp;'تنظیمات'!$B$5,'حضور و غیاب'!$A$5:$A$205,"&lt;="&amp;'تنظیمات'!$B$6)</x:f>
        <x:v>0</x:v>
      </x:c>
      <x:c r="H184" s="21" t="n">
        <x:f>ROUND(C184*D184,2)</x:f>
        <x:v>0</x:v>
      </x:c>
      <x:c r="I184" s="21" t="n">
        <x:f>ROUND(C184*E184*'تنظیمات'!$B$7,2)</x:f>
        <x:v>0</x:v>
      </x:c>
      <x:c r="J184" s="21" t="n">
        <x:f>ROUND(C184*F184,2)</x:f>
        <x:v>0</x:v>
      </x:c>
      <x:c r="K184" s="21" t="n">
        <x:f>ROUND((H184+I184+J184)*'تنظیمات'!$B$8,2)</x:f>
        <x:v>0</x:v>
      </x:c>
      <x:c r="L184" s="21" t="n">
        <x:f>SUM(H184:K184)</x:f>
        <x:v>0</x:v>
      </x:c>
      <x:c r="M184" s="21" t="n">
        <x:f>ROUND(MAX(0,L184-'تنظیمات'!$B$9)*'تنظیمات'!$B$10,2)</x:f>
        <x:v>0</x:v>
      </x:c>
      <x:c r="N184" s="21" t="n">
        <x:f>ROUND(MAX(0,L184*12-'تنظیمات'!$B$11)/12*'تنظیمات'!$B$12,2)</x:f>
        <x:v>0</x:v>
      </x:c>
      <x:c r="O184" s="21" t="n">
        <x:f>ROUND(L184*'تنظیمات'!$B$13,2)</x:f>
        <x:v>0</x:v>
      </x:c>
      <x:c r="P184" s="21" t="n">
        <x:f>ROUND((MIN(L184*12,'تنظیمات'!$B$17)*'تنظیمات'!$B$18+MAX(0,MIN(L184*12,'تنظیمات'!$B$19)-'تنظیمات'!$B$17)*'تنظیمات'!$B$20)/12,2)</x:f>
        <x:v>0</x:v>
      </x:c>
      <x:c r="Q184" s="21" t="n">
        <x:f>ROUND(MIN(L184*12,'تنظیمات'!$B$21)*'تنظیمات'!$B$22/12,2)</x:f>
        <x:v>0</x:v>
      </x:c>
      <x:c r="R184" s="21" t="n">
        <x:f>ROUND(MIN('تنظیمات'!$B$16,MAX(0,L184*12-'تنظیمات'!$B$14)*'تنظیمات'!$B$15)/12,2)</x:f>
        <x:v>0</x:v>
      </x:c>
      <x:c r="S184" s="21" t="n">
        <x:f>SUM(M184:R184)</x:f>
        <x:v>0</x:v>
      </x:c>
      <x:c r="T184" s="21" t="n">
        <x:f>L184-S184</x:f>
        <x:v>0</x:v>
      </x:c>
      <x:c r="U184" s="22" t="n">
        <x:f>'تنظیمات'!$B$5</x:f>
        <x:v>46266</x:v>
      </x:c>
      <x:c r="V184" s="22" t="n">
        <x:f>'تنظیمات'!$B$6</x:f>
        <x:v>46295</x:v>
      </x:c>
      <x:c r="W184" s="17" t="str">
        <x:f>IF(AND(A184&lt;&gt;"",T184&gt;=0),"OK","بررسی شود")</x:f>
        <x:v>بررسی شود</x:v>
      </x:c>
    </x:row>
    <x:row r="185">
      <x:c r="A185" s="13"/>
      <x:c r="B185" s="17" t="str">
        <x:f>IFERROR(VLOOKUP(A185,'کارمندان'!$A$5:$H$205,2,FALSE),"")</x:f>
      </x:c>
      <x:c r="C185" s="21" t="str">
        <x:f>IFERROR(VLOOKUP(A185,'کارمندان'!$A$5:$H$205,5,FALSE),0)</x:f>
      </x:c>
      <x:c r="D185" s="20" t="n">
        <x:f>SUMIFS('حضور و غیاب'!$J$5:$J$205,'حضور و غیاب'!$B$5:$B$205,$A185,'حضور و غیاب'!$A$5:$A$205,"&gt;="&amp;'تنظیمات'!$B$5,'حضور و غیاب'!$A$5:$A$205,"&lt;="&amp;'تنظیمات'!$B$6)</x:f>
        <x:v>0</x:v>
      </x:c>
      <x:c r="E185" s="20" t="n">
        <x:f>SUMIFS('حضور و غیاب'!$K$5:$K$205,'حضور و غیاب'!$B$5:$B$205,$A185,'حضور و غیاب'!$A$5:$A$205,"&gt;="&amp;'تنظیمات'!$B$5,'حضور و غیاب'!$A$5:$A$205,"&lt;="&amp;'تنظیمات'!$B$6)</x:f>
        <x:v>0</x:v>
      </x:c>
      <x:c r="F185" s="20" t="n">
        <x:f>SUMIFS('حضور و غیاب'!$G$5:$G$205,'حضور و غیاب'!$B$5:$B$205,$A185,'حضور و غیاب'!$F$5:$F$205,"Paid",'حضور و غیاب'!$A$5:$A$205,"&gt;="&amp;'تنظیمات'!$B$5,'حضور و غیاب'!$A$5:$A$205,"&lt;="&amp;'تنظیمات'!$B$6)</x:f>
        <x:v>0</x:v>
      </x:c>
      <x:c r="G185" s="20" t="n">
        <x:f>SUMIFS('حضور و غیاب'!$L$5:$L$205,'حضور و غیاب'!$B$5:$B$205,$A185,'حضور و غیاب'!$A$5:$A$205,"&gt;="&amp;'تنظیمات'!$B$5,'حضور و غیاب'!$A$5:$A$205,"&lt;="&amp;'تنظیمات'!$B$6)</x:f>
        <x:v>0</x:v>
      </x:c>
      <x:c r="H185" s="21" t="n">
        <x:f>ROUND(C185*D185,2)</x:f>
        <x:v>0</x:v>
      </x:c>
      <x:c r="I185" s="21" t="n">
        <x:f>ROUND(C185*E185*'تنظیمات'!$B$7,2)</x:f>
        <x:v>0</x:v>
      </x:c>
      <x:c r="J185" s="21" t="n">
        <x:f>ROUND(C185*F185,2)</x:f>
        <x:v>0</x:v>
      </x:c>
      <x:c r="K185" s="21" t="n">
        <x:f>ROUND((H185+I185+J185)*'تنظیمات'!$B$8,2)</x:f>
        <x:v>0</x:v>
      </x:c>
      <x:c r="L185" s="21" t="n">
        <x:f>SUM(H185:K185)</x:f>
        <x:v>0</x:v>
      </x:c>
      <x:c r="M185" s="21" t="n">
        <x:f>ROUND(MAX(0,L185-'تنظیمات'!$B$9)*'تنظیمات'!$B$10,2)</x:f>
        <x:v>0</x:v>
      </x:c>
      <x:c r="N185" s="21" t="n">
        <x:f>ROUND(MAX(0,L185*12-'تنظیمات'!$B$11)/12*'تنظیمات'!$B$12,2)</x:f>
        <x:v>0</x:v>
      </x:c>
      <x:c r="O185" s="21" t="n">
        <x:f>ROUND(L185*'تنظیمات'!$B$13,2)</x:f>
        <x:v>0</x:v>
      </x:c>
      <x:c r="P185" s="21" t="n">
        <x:f>ROUND((MIN(L185*12,'تنظیمات'!$B$17)*'تنظیمات'!$B$18+MAX(0,MIN(L185*12,'تنظیمات'!$B$19)-'تنظیمات'!$B$17)*'تنظیمات'!$B$20)/12,2)</x:f>
        <x:v>0</x:v>
      </x:c>
      <x:c r="Q185" s="21" t="n">
        <x:f>ROUND(MIN(L185*12,'تنظیمات'!$B$21)*'تنظیمات'!$B$22/12,2)</x:f>
        <x:v>0</x:v>
      </x:c>
      <x:c r="R185" s="21" t="n">
        <x:f>ROUND(MIN('تنظیمات'!$B$16,MAX(0,L185*12-'تنظیمات'!$B$14)*'تنظیمات'!$B$15)/12,2)</x:f>
        <x:v>0</x:v>
      </x:c>
      <x:c r="S185" s="21" t="n">
        <x:f>SUM(M185:R185)</x:f>
        <x:v>0</x:v>
      </x:c>
      <x:c r="T185" s="21" t="n">
        <x:f>L185-S185</x:f>
        <x:v>0</x:v>
      </x:c>
      <x:c r="U185" s="22" t="n">
        <x:f>'تنظیمات'!$B$5</x:f>
        <x:v>46266</x:v>
      </x:c>
      <x:c r="V185" s="22" t="n">
        <x:f>'تنظیمات'!$B$6</x:f>
        <x:v>46295</x:v>
      </x:c>
      <x:c r="W185" s="17" t="str">
        <x:f>IF(AND(A185&lt;&gt;"",T185&gt;=0),"OK","بررسی شود")</x:f>
        <x:v>بررسی شود</x:v>
      </x:c>
    </x:row>
    <x:row r="186">
      <x:c r="A186" s="13"/>
      <x:c r="B186" s="17" t="str">
        <x:f>IFERROR(VLOOKUP(A186,'کارمندان'!$A$5:$H$205,2,FALSE),"")</x:f>
      </x:c>
      <x:c r="C186" s="21" t="str">
        <x:f>IFERROR(VLOOKUP(A186,'کارمندان'!$A$5:$H$205,5,FALSE),0)</x:f>
      </x:c>
      <x:c r="D186" s="20" t="n">
        <x:f>SUMIFS('حضور و غیاب'!$J$5:$J$205,'حضور و غیاب'!$B$5:$B$205,$A186,'حضور و غیاب'!$A$5:$A$205,"&gt;="&amp;'تنظیمات'!$B$5,'حضور و غیاب'!$A$5:$A$205,"&lt;="&amp;'تنظیمات'!$B$6)</x:f>
        <x:v>0</x:v>
      </x:c>
      <x:c r="E186" s="20" t="n">
        <x:f>SUMIFS('حضور و غیاب'!$K$5:$K$205,'حضور و غیاب'!$B$5:$B$205,$A186,'حضور و غیاب'!$A$5:$A$205,"&gt;="&amp;'تنظیمات'!$B$5,'حضور و غیاب'!$A$5:$A$205,"&lt;="&amp;'تنظیمات'!$B$6)</x:f>
        <x:v>0</x:v>
      </x:c>
      <x:c r="F186" s="20" t="n">
        <x:f>SUMIFS('حضور و غیاب'!$G$5:$G$205,'حضور و غیاب'!$B$5:$B$205,$A186,'حضور و غیاب'!$F$5:$F$205,"Paid",'حضور و غیاب'!$A$5:$A$205,"&gt;="&amp;'تنظیمات'!$B$5,'حضور و غیاب'!$A$5:$A$205,"&lt;="&amp;'تنظیمات'!$B$6)</x:f>
        <x:v>0</x:v>
      </x:c>
      <x:c r="G186" s="20" t="n">
        <x:f>SUMIFS('حضور و غیاب'!$L$5:$L$205,'حضور و غیاب'!$B$5:$B$205,$A186,'حضور و غیاب'!$A$5:$A$205,"&gt;="&amp;'تنظیمات'!$B$5,'حضور و غیاب'!$A$5:$A$205,"&lt;="&amp;'تنظیمات'!$B$6)</x:f>
        <x:v>0</x:v>
      </x:c>
      <x:c r="H186" s="21" t="n">
        <x:f>ROUND(C186*D186,2)</x:f>
        <x:v>0</x:v>
      </x:c>
      <x:c r="I186" s="21" t="n">
        <x:f>ROUND(C186*E186*'تنظیمات'!$B$7,2)</x:f>
        <x:v>0</x:v>
      </x:c>
      <x:c r="J186" s="21" t="n">
        <x:f>ROUND(C186*F186,2)</x:f>
        <x:v>0</x:v>
      </x:c>
      <x:c r="K186" s="21" t="n">
        <x:f>ROUND((H186+I186+J186)*'تنظیمات'!$B$8,2)</x:f>
        <x:v>0</x:v>
      </x:c>
      <x:c r="L186" s="21" t="n">
        <x:f>SUM(H186:K186)</x:f>
        <x:v>0</x:v>
      </x:c>
      <x:c r="M186" s="21" t="n">
        <x:f>ROUND(MAX(0,L186-'تنظیمات'!$B$9)*'تنظیمات'!$B$10,2)</x:f>
        <x:v>0</x:v>
      </x:c>
      <x:c r="N186" s="21" t="n">
        <x:f>ROUND(MAX(0,L186*12-'تنظیمات'!$B$11)/12*'تنظیمات'!$B$12,2)</x:f>
        <x:v>0</x:v>
      </x:c>
      <x:c r="O186" s="21" t="n">
        <x:f>ROUND(L186*'تنظیمات'!$B$13,2)</x:f>
        <x:v>0</x:v>
      </x:c>
      <x:c r="P186" s="21" t="n">
        <x:f>ROUND((MIN(L186*12,'تنظیمات'!$B$17)*'تنظیمات'!$B$18+MAX(0,MIN(L186*12,'تنظیمات'!$B$19)-'تنظیمات'!$B$17)*'تنظیمات'!$B$20)/12,2)</x:f>
        <x:v>0</x:v>
      </x:c>
      <x:c r="Q186" s="21" t="n">
        <x:f>ROUND(MIN(L186*12,'تنظیمات'!$B$21)*'تنظیمات'!$B$22/12,2)</x:f>
        <x:v>0</x:v>
      </x:c>
      <x:c r="R186" s="21" t="n">
        <x:f>ROUND(MIN('تنظیمات'!$B$16,MAX(0,L186*12-'تنظیمات'!$B$14)*'تنظیمات'!$B$15)/12,2)</x:f>
        <x:v>0</x:v>
      </x:c>
      <x:c r="S186" s="21" t="n">
        <x:f>SUM(M186:R186)</x:f>
        <x:v>0</x:v>
      </x:c>
      <x:c r="T186" s="21" t="n">
        <x:f>L186-S186</x:f>
        <x:v>0</x:v>
      </x:c>
      <x:c r="U186" s="22" t="n">
        <x:f>'تنظیمات'!$B$5</x:f>
        <x:v>46266</x:v>
      </x:c>
      <x:c r="V186" s="22" t="n">
        <x:f>'تنظیمات'!$B$6</x:f>
        <x:v>46295</x:v>
      </x:c>
      <x:c r="W186" s="17" t="str">
        <x:f>IF(AND(A186&lt;&gt;"",T186&gt;=0),"OK","بررسی شود")</x:f>
        <x:v>بررسی شود</x:v>
      </x:c>
    </x:row>
    <x:row r="187">
      <x:c r="A187" s="13"/>
      <x:c r="B187" s="17" t="str">
        <x:f>IFERROR(VLOOKUP(A187,'کارمندان'!$A$5:$H$205,2,FALSE),"")</x:f>
      </x:c>
      <x:c r="C187" s="21" t="str">
        <x:f>IFERROR(VLOOKUP(A187,'کارمندان'!$A$5:$H$205,5,FALSE),0)</x:f>
      </x:c>
      <x:c r="D187" s="20" t="n">
        <x:f>SUMIFS('حضور و غیاب'!$J$5:$J$205,'حضور و غیاب'!$B$5:$B$205,$A187,'حضور و غیاب'!$A$5:$A$205,"&gt;="&amp;'تنظیمات'!$B$5,'حضور و غیاب'!$A$5:$A$205,"&lt;="&amp;'تنظیمات'!$B$6)</x:f>
        <x:v>0</x:v>
      </x:c>
      <x:c r="E187" s="20" t="n">
        <x:f>SUMIFS('حضور و غیاب'!$K$5:$K$205,'حضور و غیاب'!$B$5:$B$205,$A187,'حضور و غیاب'!$A$5:$A$205,"&gt;="&amp;'تنظیمات'!$B$5,'حضور و غیاب'!$A$5:$A$205,"&lt;="&amp;'تنظیمات'!$B$6)</x:f>
        <x:v>0</x:v>
      </x:c>
      <x:c r="F187" s="20" t="n">
        <x:f>SUMIFS('حضور و غیاب'!$G$5:$G$205,'حضور و غیاب'!$B$5:$B$205,$A187,'حضور و غیاب'!$F$5:$F$205,"Paid",'حضور و غیاب'!$A$5:$A$205,"&gt;="&amp;'تنظیمات'!$B$5,'حضور و غیاب'!$A$5:$A$205,"&lt;="&amp;'تنظیمات'!$B$6)</x:f>
        <x:v>0</x:v>
      </x:c>
      <x:c r="G187" s="20" t="n">
        <x:f>SUMIFS('حضور و غیاب'!$L$5:$L$205,'حضور و غیاب'!$B$5:$B$205,$A187,'حضور و غیاب'!$A$5:$A$205,"&gt;="&amp;'تنظیمات'!$B$5,'حضور و غیاب'!$A$5:$A$205,"&lt;="&amp;'تنظیمات'!$B$6)</x:f>
        <x:v>0</x:v>
      </x:c>
      <x:c r="H187" s="21" t="n">
        <x:f>ROUND(C187*D187,2)</x:f>
        <x:v>0</x:v>
      </x:c>
      <x:c r="I187" s="21" t="n">
        <x:f>ROUND(C187*E187*'تنظیمات'!$B$7,2)</x:f>
        <x:v>0</x:v>
      </x:c>
      <x:c r="J187" s="21" t="n">
        <x:f>ROUND(C187*F187,2)</x:f>
        <x:v>0</x:v>
      </x:c>
      <x:c r="K187" s="21" t="n">
        <x:f>ROUND((H187+I187+J187)*'تنظیمات'!$B$8,2)</x:f>
        <x:v>0</x:v>
      </x:c>
      <x:c r="L187" s="21" t="n">
        <x:f>SUM(H187:K187)</x:f>
        <x:v>0</x:v>
      </x:c>
      <x:c r="M187" s="21" t="n">
        <x:f>ROUND(MAX(0,L187-'تنظیمات'!$B$9)*'تنظیمات'!$B$10,2)</x:f>
        <x:v>0</x:v>
      </x:c>
      <x:c r="N187" s="21" t="n">
        <x:f>ROUND(MAX(0,L187*12-'تنظیمات'!$B$11)/12*'تنظیمات'!$B$12,2)</x:f>
        <x:v>0</x:v>
      </x:c>
      <x:c r="O187" s="21" t="n">
        <x:f>ROUND(L187*'تنظیمات'!$B$13,2)</x:f>
        <x:v>0</x:v>
      </x:c>
      <x:c r="P187" s="21" t="n">
        <x:f>ROUND((MIN(L187*12,'تنظیمات'!$B$17)*'تنظیمات'!$B$18+MAX(0,MIN(L187*12,'تنظیمات'!$B$19)-'تنظیمات'!$B$17)*'تنظیمات'!$B$20)/12,2)</x:f>
        <x:v>0</x:v>
      </x:c>
      <x:c r="Q187" s="21" t="n">
        <x:f>ROUND(MIN(L187*12,'تنظیمات'!$B$21)*'تنظیمات'!$B$22/12,2)</x:f>
        <x:v>0</x:v>
      </x:c>
      <x:c r="R187" s="21" t="n">
        <x:f>ROUND(MIN('تنظیمات'!$B$16,MAX(0,L187*12-'تنظیمات'!$B$14)*'تنظیمات'!$B$15)/12,2)</x:f>
        <x:v>0</x:v>
      </x:c>
      <x:c r="S187" s="21" t="n">
        <x:f>SUM(M187:R187)</x:f>
        <x:v>0</x:v>
      </x:c>
      <x:c r="T187" s="21" t="n">
        <x:f>L187-S187</x:f>
        <x:v>0</x:v>
      </x:c>
      <x:c r="U187" s="22" t="n">
        <x:f>'تنظیمات'!$B$5</x:f>
        <x:v>46266</x:v>
      </x:c>
      <x:c r="V187" s="22" t="n">
        <x:f>'تنظیمات'!$B$6</x:f>
        <x:v>46295</x:v>
      </x:c>
      <x:c r="W187" s="17" t="str">
        <x:f>IF(AND(A187&lt;&gt;"",T187&gt;=0),"OK","بررسی شود")</x:f>
        <x:v>بررسی شود</x:v>
      </x:c>
    </x:row>
    <x:row r="188">
      <x:c r="A188" s="13"/>
      <x:c r="B188" s="17" t="str">
        <x:f>IFERROR(VLOOKUP(A188,'کارمندان'!$A$5:$H$205,2,FALSE),"")</x:f>
      </x:c>
      <x:c r="C188" s="21" t="str">
        <x:f>IFERROR(VLOOKUP(A188,'کارمندان'!$A$5:$H$205,5,FALSE),0)</x:f>
      </x:c>
      <x:c r="D188" s="20" t="n">
        <x:f>SUMIFS('حضور و غیاب'!$J$5:$J$205,'حضور و غیاب'!$B$5:$B$205,$A188,'حضور و غیاب'!$A$5:$A$205,"&gt;="&amp;'تنظیمات'!$B$5,'حضور و غیاب'!$A$5:$A$205,"&lt;="&amp;'تنظیمات'!$B$6)</x:f>
        <x:v>0</x:v>
      </x:c>
      <x:c r="E188" s="20" t="n">
        <x:f>SUMIFS('حضور و غیاب'!$K$5:$K$205,'حضور و غیاب'!$B$5:$B$205,$A188,'حضور و غیاب'!$A$5:$A$205,"&gt;="&amp;'تنظیمات'!$B$5,'حضور و غیاب'!$A$5:$A$205,"&lt;="&amp;'تنظیمات'!$B$6)</x:f>
        <x:v>0</x:v>
      </x:c>
      <x:c r="F188" s="20" t="n">
        <x:f>SUMIFS('حضور و غیاب'!$G$5:$G$205,'حضور و غیاب'!$B$5:$B$205,$A188,'حضور و غیاب'!$F$5:$F$205,"Paid",'حضور و غیاب'!$A$5:$A$205,"&gt;="&amp;'تنظیمات'!$B$5,'حضور و غیاب'!$A$5:$A$205,"&lt;="&amp;'تنظیمات'!$B$6)</x:f>
        <x:v>0</x:v>
      </x:c>
      <x:c r="G188" s="20" t="n">
        <x:f>SUMIFS('حضور و غیاب'!$L$5:$L$205,'حضور و غیاب'!$B$5:$B$205,$A188,'حضور و غیاب'!$A$5:$A$205,"&gt;="&amp;'تنظیمات'!$B$5,'حضور و غیاب'!$A$5:$A$205,"&lt;="&amp;'تنظیمات'!$B$6)</x:f>
        <x:v>0</x:v>
      </x:c>
      <x:c r="H188" s="21" t="n">
        <x:f>ROUND(C188*D188,2)</x:f>
        <x:v>0</x:v>
      </x:c>
      <x:c r="I188" s="21" t="n">
        <x:f>ROUND(C188*E188*'تنظیمات'!$B$7,2)</x:f>
        <x:v>0</x:v>
      </x:c>
      <x:c r="J188" s="21" t="n">
        <x:f>ROUND(C188*F188,2)</x:f>
        <x:v>0</x:v>
      </x:c>
      <x:c r="K188" s="21" t="n">
        <x:f>ROUND((H188+I188+J188)*'تنظیمات'!$B$8,2)</x:f>
        <x:v>0</x:v>
      </x:c>
      <x:c r="L188" s="21" t="n">
        <x:f>SUM(H188:K188)</x:f>
        <x:v>0</x:v>
      </x:c>
      <x:c r="M188" s="21" t="n">
        <x:f>ROUND(MAX(0,L188-'تنظیمات'!$B$9)*'تنظیمات'!$B$10,2)</x:f>
        <x:v>0</x:v>
      </x:c>
      <x:c r="N188" s="21" t="n">
        <x:f>ROUND(MAX(0,L188*12-'تنظیمات'!$B$11)/12*'تنظیمات'!$B$12,2)</x:f>
        <x:v>0</x:v>
      </x:c>
      <x:c r="O188" s="21" t="n">
        <x:f>ROUND(L188*'تنظیمات'!$B$13,2)</x:f>
        <x:v>0</x:v>
      </x:c>
      <x:c r="P188" s="21" t="n">
        <x:f>ROUND((MIN(L188*12,'تنظیمات'!$B$17)*'تنظیمات'!$B$18+MAX(0,MIN(L188*12,'تنظیمات'!$B$19)-'تنظیمات'!$B$17)*'تنظیمات'!$B$20)/12,2)</x:f>
        <x:v>0</x:v>
      </x:c>
      <x:c r="Q188" s="21" t="n">
        <x:f>ROUND(MIN(L188*12,'تنظیمات'!$B$21)*'تنظیمات'!$B$22/12,2)</x:f>
        <x:v>0</x:v>
      </x:c>
      <x:c r="R188" s="21" t="n">
        <x:f>ROUND(MIN('تنظیمات'!$B$16,MAX(0,L188*12-'تنظیمات'!$B$14)*'تنظیمات'!$B$15)/12,2)</x:f>
        <x:v>0</x:v>
      </x:c>
      <x:c r="S188" s="21" t="n">
        <x:f>SUM(M188:R188)</x:f>
        <x:v>0</x:v>
      </x:c>
      <x:c r="T188" s="21" t="n">
        <x:f>L188-S188</x:f>
        <x:v>0</x:v>
      </x:c>
      <x:c r="U188" s="22" t="n">
        <x:f>'تنظیمات'!$B$5</x:f>
        <x:v>46266</x:v>
      </x:c>
      <x:c r="V188" s="22" t="n">
        <x:f>'تنظیمات'!$B$6</x:f>
        <x:v>46295</x:v>
      </x:c>
      <x:c r="W188" s="17" t="str">
        <x:f>IF(AND(A188&lt;&gt;"",T188&gt;=0),"OK","بررسی شود")</x:f>
        <x:v>بررسی شود</x:v>
      </x:c>
    </x:row>
    <x:row r="189">
      <x:c r="A189" s="13"/>
      <x:c r="B189" s="17" t="str">
        <x:f>IFERROR(VLOOKUP(A189,'کارمندان'!$A$5:$H$205,2,FALSE),"")</x:f>
      </x:c>
      <x:c r="C189" s="21" t="str">
        <x:f>IFERROR(VLOOKUP(A189,'کارمندان'!$A$5:$H$205,5,FALSE),0)</x:f>
      </x:c>
      <x:c r="D189" s="20" t="n">
        <x:f>SUMIFS('حضور و غیاب'!$J$5:$J$205,'حضور و غیاب'!$B$5:$B$205,$A189,'حضور و غیاب'!$A$5:$A$205,"&gt;="&amp;'تنظیمات'!$B$5,'حضور و غیاب'!$A$5:$A$205,"&lt;="&amp;'تنظیمات'!$B$6)</x:f>
        <x:v>0</x:v>
      </x:c>
      <x:c r="E189" s="20" t="n">
        <x:f>SUMIFS('حضور و غیاب'!$K$5:$K$205,'حضور و غیاب'!$B$5:$B$205,$A189,'حضور و غیاب'!$A$5:$A$205,"&gt;="&amp;'تنظیمات'!$B$5,'حضور و غیاب'!$A$5:$A$205,"&lt;="&amp;'تنظیمات'!$B$6)</x:f>
        <x:v>0</x:v>
      </x:c>
      <x:c r="F189" s="20" t="n">
        <x:f>SUMIFS('حضور و غیاب'!$G$5:$G$205,'حضور و غیاب'!$B$5:$B$205,$A189,'حضور و غیاب'!$F$5:$F$205,"Paid",'حضور و غیاب'!$A$5:$A$205,"&gt;="&amp;'تنظیمات'!$B$5,'حضور و غیاب'!$A$5:$A$205,"&lt;="&amp;'تنظیمات'!$B$6)</x:f>
        <x:v>0</x:v>
      </x:c>
      <x:c r="G189" s="20" t="n">
        <x:f>SUMIFS('حضور و غیاب'!$L$5:$L$205,'حضور و غیاب'!$B$5:$B$205,$A189,'حضور و غیاب'!$A$5:$A$205,"&gt;="&amp;'تنظیمات'!$B$5,'حضور و غیاب'!$A$5:$A$205,"&lt;="&amp;'تنظیمات'!$B$6)</x:f>
        <x:v>0</x:v>
      </x:c>
      <x:c r="H189" s="21" t="n">
        <x:f>ROUND(C189*D189,2)</x:f>
        <x:v>0</x:v>
      </x:c>
      <x:c r="I189" s="21" t="n">
        <x:f>ROUND(C189*E189*'تنظیمات'!$B$7,2)</x:f>
        <x:v>0</x:v>
      </x:c>
      <x:c r="J189" s="21" t="n">
        <x:f>ROUND(C189*F189,2)</x:f>
        <x:v>0</x:v>
      </x:c>
      <x:c r="K189" s="21" t="n">
        <x:f>ROUND((H189+I189+J189)*'تنظیمات'!$B$8,2)</x:f>
        <x:v>0</x:v>
      </x:c>
      <x:c r="L189" s="21" t="n">
        <x:f>SUM(H189:K189)</x:f>
        <x:v>0</x:v>
      </x:c>
      <x:c r="M189" s="21" t="n">
        <x:f>ROUND(MAX(0,L189-'تنظیمات'!$B$9)*'تنظیمات'!$B$10,2)</x:f>
        <x:v>0</x:v>
      </x:c>
      <x:c r="N189" s="21" t="n">
        <x:f>ROUND(MAX(0,L189*12-'تنظیمات'!$B$11)/12*'تنظیمات'!$B$12,2)</x:f>
        <x:v>0</x:v>
      </x:c>
      <x:c r="O189" s="21" t="n">
        <x:f>ROUND(L189*'تنظیمات'!$B$13,2)</x:f>
        <x:v>0</x:v>
      </x:c>
      <x:c r="P189" s="21" t="n">
        <x:f>ROUND((MIN(L189*12,'تنظیمات'!$B$17)*'تنظیمات'!$B$18+MAX(0,MIN(L189*12,'تنظیمات'!$B$19)-'تنظیمات'!$B$17)*'تنظیمات'!$B$20)/12,2)</x:f>
        <x:v>0</x:v>
      </x:c>
      <x:c r="Q189" s="21" t="n">
        <x:f>ROUND(MIN(L189*12,'تنظیمات'!$B$21)*'تنظیمات'!$B$22/12,2)</x:f>
        <x:v>0</x:v>
      </x:c>
      <x:c r="R189" s="21" t="n">
        <x:f>ROUND(MIN('تنظیمات'!$B$16,MAX(0,L189*12-'تنظیمات'!$B$14)*'تنظیمات'!$B$15)/12,2)</x:f>
        <x:v>0</x:v>
      </x:c>
      <x:c r="S189" s="21" t="n">
        <x:f>SUM(M189:R189)</x:f>
        <x:v>0</x:v>
      </x:c>
      <x:c r="T189" s="21" t="n">
        <x:f>L189-S189</x:f>
        <x:v>0</x:v>
      </x:c>
      <x:c r="U189" s="22" t="n">
        <x:f>'تنظیمات'!$B$5</x:f>
        <x:v>46266</x:v>
      </x:c>
      <x:c r="V189" s="22" t="n">
        <x:f>'تنظیمات'!$B$6</x:f>
        <x:v>46295</x:v>
      </x:c>
      <x:c r="W189" s="17" t="str">
        <x:f>IF(AND(A189&lt;&gt;"",T189&gt;=0),"OK","بررسی شود")</x:f>
        <x:v>بررسی شود</x:v>
      </x:c>
    </x:row>
    <x:row r="190">
      <x:c r="A190" s="13"/>
      <x:c r="B190" s="17" t="str">
        <x:f>IFERROR(VLOOKUP(A190,'کارمندان'!$A$5:$H$205,2,FALSE),"")</x:f>
      </x:c>
      <x:c r="C190" s="21" t="str">
        <x:f>IFERROR(VLOOKUP(A190,'کارمندان'!$A$5:$H$205,5,FALSE),0)</x:f>
      </x:c>
      <x:c r="D190" s="20" t="n">
        <x:f>SUMIFS('حضور و غیاب'!$J$5:$J$205,'حضور و غیاب'!$B$5:$B$205,$A190,'حضور و غیاب'!$A$5:$A$205,"&gt;="&amp;'تنظیمات'!$B$5,'حضور و غیاب'!$A$5:$A$205,"&lt;="&amp;'تنظیمات'!$B$6)</x:f>
        <x:v>0</x:v>
      </x:c>
      <x:c r="E190" s="20" t="n">
        <x:f>SUMIFS('حضور و غیاب'!$K$5:$K$205,'حضور و غیاب'!$B$5:$B$205,$A190,'حضور و غیاب'!$A$5:$A$205,"&gt;="&amp;'تنظیمات'!$B$5,'حضور و غیاب'!$A$5:$A$205,"&lt;="&amp;'تنظیمات'!$B$6)</x:f>
        <x:v>0</x:v>
      </x:c>
      <x:c r="F190" s="20" t="n">
        <x:f>SUMIFS('حضور و غیاب'!$G$5:$G$205,'حضور و غیاب'!$B$5:$B$205,$A190,'حضور و غیاب'!$F$5:$F$205,"Paid",'حضور و غیاب'!$A$5:$A$205,"&gt;="&amp;'تنظیمات'!$B$5,'حضور و غیاب'!$A$5:$A$205,"&lt;="&amp;'تنظیمات'!$B$6)</x:f>
        <x:v>0</x:v>
      </x:c>
      <x:c r="G190" s="20" t="n">
        <x:f>SUMIFS('حضور و غیاب'!$L$5:$L$205,'حضور و غیاب'!$B$5:$B$205,$A190,'حضور و غیاب'!$A$5:$A$205,"&gt;="&amp;'تنظیمات'!$B$5,'حضور و غیاب'!$A$5:$A$205,"&lt;="&amp;'تنظیمات'!$B$6)</x:f>
        <x:v>0</x:v>
      </x:c>
      <x:c r="H190" s="21" t="n">
        <x:f>ROUND(C190*D190,2)</x:f>
        <x:v>0</x:v>
      </x:c>
      <x:c r="I190" s="21" t="n">
        <x:f>ROUND(C190*E190*'تنظیمات'!$B$7,2)</x:f>
        <x:v>0</x:v>
      </x:c>
      <x:c r="J190" s="21" t="n">
        <x:f>ROUND(C190*F190,2)</x:f>
        <x:v>0</x:v>
      </x:c>
      <x:c r="K190" s="21" t="n">
        <x:f>ROUND((H190+I190+J190)*'تنظیمات'!$B$8,2)</x:f>
        <x:v>0</x:v>
      </x:c>
      <x:c r="L190" s="21" t="n">
        <x:f>SUM(H190:K190)</x:f>
        <x:v>0</x:v>
      </x:c>
      <x:c r="M190" s="21" t="n">
        <x:f>ROUND(MAX(0,L190-'تنظیمات'!$B$9)*'تنظیمات'!$B$10,2)</x:f>
        <x:v>0</x:v>
      </x:c>
      <x:c r="N190" s="21" t="n">
        <x:f>ROUND(MAX(0,L190*12-'تنظیمات'!$B$11)/12*'تنظیمات'!$B$12,2)</x:f>
        <x:v>0</x:v>
      </x:c>
      <x:c r="O190" s="21" t="n">
        <x:f>ROUND(L190*'تنظیمات'!$B$13,2)</x:f>
        <x:v>0</x:v>
      </x:c>
      <x:c r="P190" s="21" t="n">
        <x:f>ROUND((MIN(L190*12,'تنظیمات'!$B$17)*'تنظیمات'!$B$18+MAX(0,MIN(L190*12,'تنظیمات'!$B$19)-'تنظیمات'!$B$17)*'تنظیمات'!$B$20)/12,2)</x:f>
        <x:v>0</x:v>
      </x:c>
      <x:c r="Q190" s="21" t="n">
        <x:f>ROUND(MIN(L190*12,'تنظیمات'!$B$21)*'تنظیمات'!$B$22/12,2)</x:f>
        <x:v>0</x:v>
      </x:c>
      <x:c r="R190" s="21" t="n">
        <x:f>ROUND(MIN('تنظیمات'!$B$16,MAX(0,L190*12-'تنظیمات'!$B$14)*'تنظیمات'!$B$15)/12,2)</x:f>
        <x:v>0</x:v>
      </x:c>
      <x:c r="S190" s="21" t="n">
        <x:f>SUM(M190:R190)</x:f>
        <x:v>0</x:v>
      </x:c>
      <x:c r="T190" s="21" t="n">
        <x:f>L190-S190</x:f>
        <x:v>0</x:v>
      </x:c>
      <x:c r="U190" s="22" t="n">
        <x:f>'تنظیمات'!$B$5</x:f>
        <x:v>46266</x:v>
      </x:c>
      <x:c r="V190" s="22" t="n">
        <x:f>'تنظیمات'!$B$6</x:f>
        <x:v>46295</x:v>
      </x:c>
      <x:c r="W190" s="17" t="str">
        <x:f>IF(AND(A190&lt;&gt;"",T190&gt;=0),"OK","بررسی شود")</x:f>
        <x:v>بررسی شود</x:v>
      </x:c>
    </x:row>
    <x:row r="191">
      <x:c r="A191" s="13"/>
      <x:c r="B191" s="17" t="str">
        <x:f>IFERROR(VLOOKUP(A191,'کارمندان'!$A$5:$H$205,2,FALSE),"")</x:f>
      </x:c>
      <x:c r="C191" s="21" t="str">
        <x:f>IFERROR(VLOOKUP(A191,'کارمندان'!$A$5:$H$205,5,FALSE),0)</x:f>
      </x:c>
      <x:c r="D191" s="20" t="n">
        <x:f>SUMIFS('حضور و غیاب'!$J$5:$J$205,'حضور و غیاب'!$B$5:$B$205,$A191,'حضور و غیاب'!$A$5:$A$205,"&gt;="&amp;'تنظیمات'!$B$5,'حضور و غیاب'!$A$5:$A$205,"&lt;="&amp;'تنظیمات'!$B$6)</x:f>
        <x:v>0</x:v>
      </x:c>
      <x:c r="E191" s="20" t="n">
        <x:f>SUMIFS('حضور و غیاب'!$K$5:$K$205,'حضور و غیاب'!$B$5:$B$205,$A191,'حضور و غیاب'!$A$5:$A$205,"&gt;="&amp;'تنظیمات'!$B$5,'حضور و غیاب'!$A$5:$A$205,"&lt;="&amp;'تنظیمات'!$B$6)</x:f>
        <x:v>0</x:v>
      </x:c>
      <x:c r="F191" s="20" t="n">
        <x:f>SUMIFS('حضور و غیاب'!$G$5:$G$205,'حضور و غیاب'!$B$5:$B$205,$A191,'حضور و غیاب'!$F$5:$F$205,"Paid",'حضور و غیاب'!$A$5:$A$205,"&gt;="&amp;'تنظیمات'!$B$5,'حضور و غیاب'!$A$5:$A$205,"&lt;="&amp;'تنظیمات'!$B$6)</x:f>
        <x:v>0</x:v>
      </x:c>
      <x:c r="G191" s="20" t="n">
        <x:f>SUMIFS('حضور و غیاب'!$L$5:$L$205,'حضور و غیاب'!$B$5:$B$205,$A191,'حضور و غیاب'!$A$5:$A$205,"&gt;="&amp;'تنظیمات'!$B$5,'حضور و غیاب'!$A$5:$A$205,"&lt;="&amp;'تنظیمات'!$B$6)</x:f>
        <x:v>0</x:v>
      </x:c>
      <x:c r="H191" s="21" t="n">
        <x:f>ROUND(C191*D191,2)</x:f>
        <x:v>0</x:v>
      </x:c>
      <x:c r="I191" s="21" t="n">
        <x:f>ROUND(C191*E191*'تنظیمات'!$B$7,2)</x:f>
        <x:v>0</x:v>
      </x:c>
      <x:c r="J191" s="21" t="n">
        <x:f>ROUND(C191*F191,2)</x:f>
        <x:v>0</x:v>
      </x:c>
      <x:c r="K191" s="21" t="n">
        <x:f>ROUND((H191+I191+J191)*'تنظیمات'!$B$8,2)</x:f>
        <x:v>0</x:v>
      </x:c>
      <x:c r="L191" s="21" t="n">
        <x:f>SUM(H191:K191)</x:f>
        <x:v>0</x:v>
      </x:c>
      <x:c r="M191" s="21" t="n">
        <x:f>ROUND(MAX(0,L191-'تنظیمات'!$B$9)*'تنظیمات'!$B$10,2)</x:f>
        <x:v>0</x:v>
      </x:c>
      <x:c r="N191" s="21" t="n">
        <x:f>ROUND(MAX(0,L191*12-'تنظیمات'!$B$11)/12*'تنظیمات'!$B$12,2)</x:f>
        <x:v>0</x:v>
      </x:c>
      <x:c r="O191" s="21" t="n">
        <x:f>ROUND(L191*'تنظیمات'!$B$13,2)</x:f>
        <x:v>0</x:v>
      </x:c>
      <x:c r="P191" s="21" t="n">
        <x:f>ROUND((MIN(L191*12,'تنظیمات'!$B$17)*'تنظیمات'!$B$18+MAX(0,MIN(L191*12,'تنظیمات'!$B$19)-'تنظیمات'!$B$17)*'تنظیمات'!$B$20)/12,2)</x:f>
        <x:v>0</x:v>
      </x:c>
      <x:c r="Q191" s="21" t="n">
        <x:f>ROUND(MIN(L191*12,'تنظیمات'!$B$21)*'تنظیمات'!$B$22/12,2)</x:f>
        <x:v>0</x:v>
      </x:c>
      <x:c r="R191" s="21" t="n">
        <x:f>ROUND(MIN('تنظیمات'!$B$16,MAX(0,L191*12-'تنظیمات'!$B$14)*'تنظیمات'!$B$15)/12,2)</x:f>
        <x:v>0</x:v>
      </x:c>
      <x:c r="S191" s="21" t="n">
        <x:f>SUM(M191:R191)</x:f>
        <x:v>0</x:v>
      </x:c>
      <x:c r="T191" s="21" t="n">
        <x:f>L191-S191</x:f>
        <x:v>0</x:v>
      </x:c>
      <x:c r="U191" s="22" t="n">
        <x:f>'تنظیمات'!$B$5</x:f>
        <x:v>46266</x:v>
      </x:c>
      <x:c r="V191" s="22" t="n">
        <x:f>'تنظیمات'!$B$6</x:f>
        <x:v>46295</x:v>
      </x:c>
      <x:c r="W191" s="17" t="str">
        <x:f>IF(AND(A191&lt;&gt;"",T191&gt;=0),"OK","بررسی شود")</x:f>
        <x:v>بررسی شود</x:v>
      </x:c>
    </x:row>
    <x:row r="192">
      <x:c r="A192" s="13"/>
      <x:c r="B192" s="17" t="str">
        <x:f>IFERROR(VLOOKUP(A192,'کارمندان'!$A$5:$H$205,2,FALSE),"")</x:f>
      </x:c>
      <x:c r="C192" s="21" t="str">
        <x:f>IFERROR(VLOOKUP(A192,'کارمندان'!$A$5:$H$205,5,FALSE),0)</x:f>
      </x:c>
      <x:c r="D192" s="20" t="n">
        <x:f>SUMIFS('حضور و غیاب'!$J$5:$J$205,'حضور و غیاب'!$B$5:$B$205,$A192,'حضور و غیاب'!$A$5:$A$205,"&gt;="&amp;'تنظیمات'!$B$5,'حضور و غیاب'!$A$5:$A$205,"&lt;="&amp;'تنظیمات'!$B$6)</x:f>
        <x:v>0</x:v>
      </x:c>
      <x:c r="E192" s="20" t="n">
        <x:f>SUMIFS('حضور و غیاب'!$K$5:$K$205,'حضور و غیاب'!$B$5:$B$205,$A192,'حضور و غیاب'!$A$5:$A$205,"&gt;="&amp;'تنظیمات'!$B$5,'حضور و غیاب'!$A$5:$A$205,"&lt;="&amp;'تنظیمات'!$B$6)</x:f>
        <x:v>0</x:v>
      </x:c>
      <x:c r="F192" s="20" t="n">
        <x:f>SUMIFS('حضور و غیاب'!$G$5:$G$205,'حضور و غیاب'!$B$5:$B$205,$A192,'حضور و غیاب'!$F$5:$F$205,"Paid",'حضور و غیاب'!$A$5:$A$205,"&gt;="&amp;'تنظیمات'!$B$5,'حضور و غیاب'!$A$5:$A$205,"&lt;="&amp;'تنظیمات'!$B$6)</x:f>
        <x:v>0</x:v>
      </x:c>
      <x:c r="G192" s="20" t="n">
        <x:f>SUMIFS('حضور و غیاب'!$L$5:$L$205,'حضور و غیاب'!$B$5:$B$205,$A192,'حضور و غیاب'!$A$5:$A$205,"&gt;="&amp;'تنظیمات'!$B$5,'حضور و غیاب'!$A$5:$A$205,"&lt;="&amp;'تنظیمات'!$B$6)</x:f>
        <x:v>0</x:v>
      </x:c>
      <x:c r="H192" s="21" t="n">
        <x:f>ROUND(C192*D192,2)</x:f>
        <x:v>0</x:v>
      </x:c>
      <x:c r="I192" s="21" t="n">
        <x:f>ROUND(C192*E192*'تنظیمات'!$B$7,2)</x:f>
        <x:v>0</x:v>
      </x:c>
      <x:c r="J192" s="21" t="n">
        <x:f>ROUND(C192*F192,2)</x:f>
        <x:v>0</x:v>
      </x:c>
      <x:c r="K192" s="21" t="n">
        <x:f>ROUND((H192+I192+J192)*'تنظیمات'!$B$8,2)</x:f>
        <x:v>0</x:v>
      </x:c>
      <x:c r="L192" s="21" t="n">
        <x:f>SUM(H192:K192)</x:f>
        <x:v>0</x:v>
      </x:c>
      <x:c r="M192" s="21" t="n">
        <x:f>ROUND(MAX(0,L192-'تنظیمات'!$B$9)*'تنظیمات'!$B$10,2)</x:f>
        <x:v>0</x:v>
      </x:c>
      <x:c r="N192" s="21" t="n">
        <x:f>ROUND(MAX(0,L192*12-'تنظیمات'!$B$11)/12*'تنظیمات'!$B$12,2)</x:f>
        <x:v>0</x:v>
      </x:c>
      <x:c r="O192" s="21" t="n">
        <x:f>ROUND(L192*'تنظیمات'!$B$13,2)</x:f>
        <x:v>0</x:v>
      </x:c>
      <x:c r="P192" s="21" t="n">
        <x:f>ROUND((MIN(L192*12,'تنظیمات'!$B$17)*'تنظیمات'!$B$18+MAX(0,MIN(L192*12,'تنظیمات'!$B$19)-'تنظیمات'!$B$17)*'تنظیمات'!$B$20)/12,2)</x:f>
        <x:v>0</x:v>
      </x:c>
      <x:c r="Q192" s="21" t="n">
        <x:f>ROUND(MIN(L192*12,'تنظیمات'!$B$21)*'تنظیمات'!$B$22/12,2)</x:f>
        <x:v>0</x:v>
      </x:c>
      <x:c r="R192" s="21" t="n">
        <x:f>ROUND(MIN('تنظیمات'!$B$16,MAX(0,L192*12-'تنظیمات'!$B$14)*'تنظیمات'!$B$15)/12,2)</x:f>
        <x:v>0</x:v>
      </x:c>
      <x:c r="S192" s="21" t="n">
        <x:f>SUM(M192:R192)</x:f>
        <x:v>0</x:v>
      </x:c>
      <x:c r="T192" s="21" t="n">
        <x:f>L192-S192</x:f>
        <x:v>0</x:v>
      </x:c>
      <x:c r="U192" s="22" t="n">
        <x:f>'تنظیمات'!$B$5</x:f>
        <x:v>46266</x:v>
      </x:c>
      <x:c r="V192" s="22" t="n">
        <x:f>'تنظیمات'!$B$6</x:f>
        <x:v>46295</x:v>
      </x:c>
      <x:c r="W192" s="17" t="str">
        <x:f>IF(AND(A192&lt;&gt;"",T192&gt;=0),"OK","بررسی شود")</x:f>
        <x:v>بررسی شود</x:v>
      </x:c>
    </x:row>
    <x:row r="193">
      <x:c r="A193" s="13"/>
      <x:c r="B193" s="17" t="str">
        <x:f>IFERROR(VLOOKUP(A193,'کارمندان'!$A$5:$H$205,2,FALSE),"")</x:f>
      </x:c>
      <x:c r="C193" s="21" t="str">
        <x:f>IFERROR(VLOOKUP(A193,'کارمندان'!$A$5:$H$205,5,FALSE),0)</x:f>
      </x:c>
      <x:c r="D193" s="20" t="n">
        <x:f>SUMIFS('حضور و غیاب'!$J$5:$J$205,'حضور و غیاب'!$B$5:$B$205,$A193,'حضور و غیاب'!$A$5:$A$205,"&gt;="&amp;'تنظیمات'!$B$5,'حضور و غیاب'!$A$5:$A$205,"&lt;="&amp;'تنظیمات'!$B$6)</x:f>
        <x:v>0</x:v>
      </x:c>
      <x:c r="E193" s="20" t="n">
        <x:f>SUMIFS('حضور و غیاب'!$K$5:$K$205,'حضور و غیاب'!$B$5:$B$205,$A193,'حضور و غیاب'!$A$5:$A$205,"&gt;="&amp;'تنظیمات'!$B$5,'حضور و غیاب'!$A$5:$A$205,"&lt;="&amp;'تنظیمات'!$B$6)</x:f>
        <x:v>0</x:v>
      </x:c>
      <x:c r="F193" s="20" t="n">
        <x:f>SUMIFS('حضور و غیاب'!$G$5:$G$205,'حضور و غیاب'!$B$5:$B$205,$A193,'حضور و غیاب'!$F$5:$F$205,"Paid",'حضور و غیاب'!$A$5:$A$205,"&gt;="&amp;'تنظیمات'!$B$5,'حضور و غیاب'!$A$5:$A$205,"&lt;="&amp;'تنظیمات'!$B$6)</x:f>
        <x:v>0</x:v>
      </x:c>
      <x:c r="G193" s="20" t="n">
        <x:f>SUMIFS('حضور و غیاب'!$L$5:$L$205,'حضور و غیاب'!$B$5:$B$205,$A193,'حضور و غیاب'!$A$5:$A$205,"&gt;="&amp;'تنظیمات'!$B$5,'حضور و غیاب'!$A$5:$A$205,"&lt;="&amp;'تنظیمات'!$B$6)</x:f>
        <x:v>0</x:v>
      </x:c>
      <x:c r="H193" s="21" t="n">
        <x:f>ROUND(C193*D193,2)</x:f>
        <x:v>0</x:v>
      </x:c>
      <x:c r="I193" s="21" t="n">
        <x:f>ROUND(C193*E193*'تنظیمات'!$B$7,2)</x:f>
        <x:v>0</x:v>
      </x:c>
      <x:c r="J193" s="21" t="n">
        <x:f>ROUND(C193*F193,2)</x:f>
        <x:v>0</x:v>
      </x:c>
      <x:c r="K193" s="21" t="n">
        <x:f>ROUND((H193+I193+J193)*'تنظیمات'!$B$8,2)</x:f>
        <x:v>0</x:v>
      </x:c>
      <x:c r="L193" s="21" t="n">
        <x:f>SUM(H193:K193)</x:f>
        <x:v>0</x:v>
      </x:c>
      <x:c r="M193" s="21" t="n">
        <x:f>ROUND(MAX(0,L193-'تنظیمات'!$B$9)*'تنظیمات'!$B$10,2)</x:f>
        <x:v>0</x:v>
      </x:c>
      <x:c r="N193" s="21" t="n">
        <x:f>ROUND(MAX(0,L193*12-'تنظیمات'!$B$11)/12*'تنظیمات'!$B$12,2)</x:f>
        <x:v>0</x:v>
      </x:c>
      <x:c r="O193" s="21" t="n">
        <x:f>ROUND(L193*'تنظیمات'!$B$13,2)</x:f>
        <x:v>0</x:v>
      </x:c>
      <x:c r="P193" s="21" t="n">
        <x:f>ROUND((MIN(L193*12,'تنظیمات'!$B$17)*'تنظیمات'!$B$18+MAX(0,MIN(L193*12,'تنظیمات'!$B$19)-'تنظیمات'!$B$17)*'تنظیمات'!$B$20)/12,2)</x:f>
        <x:v>0</x:v>
      </x:c>
      <x:c r="Q193" s="21" t="n">
        <x:f>ROUND(MIN(L193*12,'تنظیمات'!$B$21)*'تنظیمات'!$B$22/12,2)</x:f>
        <x:v>0</x:v>
      </x:c>
      <x:c r="R193" s="21" t="n">
        <x:f>ROUND(MIN('تنظیمات'!$B$16,MAX(0,L193*12-'تنظیمات'!$B$14)*'تنظیمات'!$B$15)/12,2)</x:f>
        <x:v>0</x:v>
      </x:c>
      <x:c r="S193" s="21" t="n">
        <x:f>SUM(M193:R193)</x:f>
        <x:v>0</x:v>
      </x:c>
      <x:c r="T193" s="21" t="n">
        <x:f>L193-S193</x:f>
        <x:v>0</x:v>
      </x:c>
      <x:c r="U193" s="22" t="n">
        <x:f>'تنظیمات'!$B$5</x:f>
        <x:v>46266</x:v>
      </x:c>
      <x:c r="V193" s="22" t="n">
        <x:f>'تنظیمات'!$B$6</x:f>
        <x:v>46295</x:v>
      </x:c>
      <x:c r="W193" s="17" t="str">
        <x:f>IF(AND(A193&lt;&gt;"",T193&gt;=0),"OK","بررسی شود")</x:f>
        <x:v>بررسی شود</x:v>
      </x:c>
    </x:row>
    <x:row r="194">
      <x:c r="A194" s="13"/>
      <x:c r="B194" s="17" t="str">
        <x:f>IFERROR(VLOOKUP(A194,'کارمندان'!$A$5:$H$205,2,FALSE),"")</x:f>
      </x:c>
      <x:c r="C194" s="21" t="str">
        <x:f>IFERROR(VLOOKUP(A194,'کارمندان'!$A$5:$H$205,5,FALSE),0)</x:f>
      </x:c>
      <x:c r="D194" s="20" t="n">
        <x:f>SUMIFS('حضور و غیاب'!$J$5:$J$205,'حضور و غیاب'!$B$5:$B$205,$A194,'حضور و غیاب'!$A$5:$A$205,"&gt;="&amp;'تنظیمات'!$B$5,'حضور و غیاب'!$A$5:$A$205,"&lt;="&amp;'تنظیمات'!$B$6)</x:f>
        <x:v>0</x:v>
      </x:c>
      <x:c r="E194" s="20" t="n">
        <x:f>SUMIFS('حضور و غیاب'!$K$5:$K$205,'حضور و غیاب'!$B$5:$B$205,$A194,'حضور و غیاب'!$A$5:$A$205,"&gt;="&amp;'تنظیمات'!$B$5,'حضور و غیاب'!$A$5:$A$205,"&lt;="&amp;'تنظیمات'!$B$6)</x:f>
        <x:v>0</x:v>
      </x:c>
      <x:c r="F194" s="20" t="n">
        <x:f>SUMIFS('حضور و غیاب'!$G$5:$G$205,'حضور و غیاب'!$B$5:$B$205,$A194,'حضور و غیاب'!$F$5:$F$205,"Paid",'حضور و غیاب'!$A$5:$A$205,"&gt;="&amp;'تنظیمات'!$B$5,'حضور و غیاب'!$A$5:$A$205,"&lt;="&amp;'تنظیمات'!$B$6)</x:f>
        <x:v>0</x:v>
      </x:c>
      <x:c r="G194" s="20" t="n">
        <x:f>SUMIFS('حضور و غیاب'!$L$5:$L$205,'حضور و غیاب'!$B$5:$B$205,$A194,'حضور و غیاب'!$A$5:$A$205,"&gt;="&amp;'تنظیمات'!$B$5,'حضور و غیاب'!$A$5:$A$205,"&lt;="&amp;'تنظیمات'!$B$6)</x:f>
        <x:v>0</x:v>
      </x:c>
      <x:c r="H194" s="21" t="n">
        <x:f>ROUND(C194*D194,2)</x:f>
        <x:v>0</x:v>
      </x:c>
      <x:c r="I194" s="21" t="n">
        <x:f>ROUND(C194*E194*'تنظیمات'!$B$7,2)</x:f>
        <x:v>0</x:v>
      </x:c>
      <x:c r="J194" s="21" t="n">
        <x:f>ROUND(C194*F194,2)</x:f>
        <x:v>0</x:v>
      </x:c>
      <x:c r="K194" s="21" t="n">
        <x:f>ROUND((H194+I194+J194)*'تنظیمات'!$B$8,2)</x:f>
        <x:v>0</x:v>
      </x:c>
      <x:c r="L194" s="21" t="n">
        <x:f>SUM(H194:K194)</x:f>
        <x:v>0</x:v>
      </x:c>
      <x:c r="M194" s="21" t="n">
        <x:f>ROUND(MAX(0,L194-'تنظیمات'!$B$9)*'تنظیمات'!$B$10,2)</x:f>
        <x:v>0</x:v>
      </x:c>
      <x:c r="N194" s="21" t="n">
        <x:f>ROUND(MAX(0,L194*12-'تنظیمات'!$B$11)/12*'تنظیمات'!$B$12,2)</x:f>
        <x:v>0</x:v>
      </x:c>
      <x:c r="O194" s="21" t="n">
        <x:f>ROUND(L194*'تنظیمات'!$B$13,2)</x:f>
        <x:v>0</x:v>
      </x:c>
      <x:c r="P194" s="21" t="n">
        <x:f>ROUND((MIN(L194*12,'تنظیمات'!$B$17)*'تنظیمات'!$B$18+MAX(0,MIN(L194*12,'تنظیمات'!$B$19)-'تنظیمات'!$B$17)*'تنظیمات'!$B$20)/12,2)</x:f>
        <x:v>0</x:v>
      </x:c>
      <x:c r="Q194" s="21" t="n">
        <x:f>ROUND(MIN(L194*12,'تنظیمات'!$B$21)*'تنظیمات'!$B$22/12,2)</x:f>
        <x:v>0</x:v>
      </x:c>
      <x:c r="R194" s="21" t="n">
        <x:f>ROUND(MIN('تنظیمات'!$B$16,MAX(0,L194*12-'تنظیمات'!$B$14)*'تنظیمات'!$B$15)/12,2)</x:f>
        <x:v>0</x:v>
      </x:c>
      <x:c r="S194" s="21" t="n">
        <x:f>SUM(M194:R194)</x:f>
        <x:v>0</x:v>
      </x:c>
      <x:c r="T194" s="21" t="n">
        <x:f>L194-S194</x:f>
        <x:v>0</x:v>
      </x:c>
      <x:c r="U194" s="22" t="n">
        <x:f>'تنظیمات'!$B$5</x:f>
        <x:v>46266</x:v>
      </x:c>
      <x:c r="V194" s="22" t="n">
        <x:f>'تنظیمات'!$B$6</x:f>
        <x:v>46295</x:v>
      </x:c>
      <x:c r="W194" s="17" t="str">
        <x:f>IF(AND(A194&lt;&gt;"",T194&gt;=0),"OK","بررسی شود")</x:f>
        <x:v>بررسی شود</x:v>
      </x:c>
    </x:row>
    <x:row r="195">
      <x:c r="A195" s="13"/>
      <x:c r="B195" s="17" t="str">
        <x:f>IFERROR(VLOOKUP(A195,'کارمندان'!$A$5:$H$205,2,FALSE),"")</x:f>
      </x:c>
      <x:c r="C195" s="21" t="str">
        <x:f>IFERROR(VLOOKUP(A195,'کارمندان'!$A$5:$H$205,5,FALSE),0)</x:f>
      </x:c>
      <x:c r="D195" s="20" t="n">
        <x:f>SUMIFS('حضور و غیاب'!$J$5:$J$205,'حضور و غیاب'!$B$5:$B$205,$A195,'حضور و غیاب'!$A$5:$A$205,"&gt;="&amp;'تنظیمات'!$B$5,'حضور و غیاب'!$A$5:$A$205,"&lt;="&amp;'تنظیمات'!$B$6)</x:f>
        <x:v>0</x:v>
      </x:c>
      <x:c r="E195" s="20" t="n">
        <x:f>SUMIFS('حضور و غیاب'!$K$5:$K$205,'حضور و غیاب'!$B$5:$B$205,$A195,'حضور و غیاب'!$A$5:$A$205,"&gt;="&amp;'تنظیمات'!$B$5,'حضور و غیاب'!$A$5:$A$205,"&lt;="&amp;'تنظیمات'!$B$6)</x:f>
        <x:v>0</x:v>
      </x:c>
      <x:c r="F195" s="20" t="n">
        <x:f>SUMIFS('حضور و غیاب'!$G$5:$G$205,'حضور و غیاب'!$B$5:$B$205,$A195,'حضور و غیاب'!$F$5:$F$205,"Paid",'حضور و غیاب'!$A$5:$A$205,"&gt;="&amp;'تنظیمات'!$B$5,'حضور و غیاب'!$A$5:$A$205,"&lt;="&amp;'تنظیمات'!$B$6)</x:f>
        <x:v>0</x:v>
      </x:c>
      <x:c r="G195" s="20" t="n">
        <x:f>SUMIFS('حضور و غیاب'!$L$5:$L$205,'حضور و غیاب'!$B$5:$B$205,$A195,'حضور و غیاب'!$A$5:$A$205,"&gt;="&amp;'تنظیمات'!$B$5,'حضور و غیاب'!$A$5:$A$205,"&lt;="&amp;'تنظیمات'!$B$6)</x:f>
        <x:v>0</x:v>
      </x:c>
      <x:c r="H195" s="21" t="n">
        <x:f>ROUND(C195*D195,2)</x:f>
        <x:v>0</x:v>
      </x:c>
      <x:c r="I195" s="21" t="n">
        <x:f>ROUND(C195*E195*'تنظیمات'!$B$7,2)</x:f>
        <x:v>0</x:v>
      </x:c>
      <x:c r="J195" s="21" t="n">
        <x:f>ROUND(C195*F195,2)</x:f>
        <x:v>0</x:v>
      </x:c>
      <x:c r="K195" s="21" t="n">
        <x:f>ROUND((H195+I195+J195)*'تنظیمات'!$B$8,2)</x:f>
        <x:v>0</x:v>
      </x:c>
      <x:c r="L195" s="21" t="n">
        <x:f>SUM(H195:K195)</x:f>
        <x:v>0</x:v>
      </x:c>
      <x:c r="M195" s="21" t="n">
        <x:f>ROUND(MAX(0,L195-'تنظیمات'!$B$9)*'تنظیمات'!$B$10,2)</x:f>
        <x:v>0</x:v>
      </x:c>
      <x:c r="N195" s="21" t="n">
        <x:f>ROUND(MAX(0,L195*12-'تنظیمات'!$B$11)/12*'تنظیمات'!$B$12,2)</x:f>
        <x:v>0</x:v>
      </x:c>
      <x:c r="O195" s="21" t="n">
        <x:f>ROUND(L195*'تنظیمات'!$B$13,2)</x:f>
        <x:v>0</x:v>
      </x:c>
      <x:c r="P195" s="21" t="n">
        <x:f>ROUND((MIN(L195*12,'تنظیمات'!$B$17)*'تنظیمات'!$B$18+MAX(0,MIN(L195*12,'تنظیمات'!$B$19)-'تنظیمات'!$B$17)*'تنظیمات'!$B$20)/12,2)</x:f>
        <x:v>0</x:v>
      </x:c>
      <x:c r="Q195" s="21" t="n">
        <x:f>ROUND(MIN(L195*12,'تنظیمات'!$B$21)*'تنظیمات'!$B$22/12,2)</x:f>
        <x:v>0</x:v>
      </x:c>
      <x:c r="R195" s="21" t="n">
        <x:f>ROUND(MIN('تنظیمات'!$B$16,MAX(0,L195*12-'تنظیمات'!$B$14)*'تنظیمات'!$B$15)/12,2)</x:f>
        <x:v>0</x:v>
      </x:c>
      <x:c r="S195" s="21" t="n">
        <x:f>SUM(M195:R195)</x:f>
        <x:v>0</x:v>
      </x:c>
      <x:c r="T195" s="21" t="n">
        <x:f>L195-S195</x:f>
        <x:v>0</x:v>
      </x:c>
      <x:c r="U195" s="22" t="n">
        <x:f>'تنظیمات'!$B$5</x:f>
        <x:v>46266</x:v>
      </x:c>
      <x:c r="V195" s="22" t="n">
        <x:f>'تنظیمات'!$B$6</x:f>
        <x:v>46295</x:v>
      </x:c>
      <x:c r="W195" s="17" t="str">
        <x:f>IF(AND(A195&lt;&gt;"",T195&gt;=0),"OK","بررسی شود")</x:f>
        <x:v>بررسی شود</x:v>
      </x:c>
    </x:row>
    <x:row r="196">
      <x:c r="A196" s="13"/>
      <x:c r="B196" s="17" t="str">
        <x:f>IFERROR(VLOOKUP(A196,'کارمندان'!$A$5:$H$205,2,FALSE),"")</x:f>
      </x:c>
      <x:c r="C196" s="21" t="str">
        <x:f>IFERROR(VLOOKUP(A196,'کارمندان'!$A$5:$H$205,5,FALSE),0)</x:f>
      </x:c>
      <x:c r="D196" s="20" t="n">
        <x:f>SUMIFS('حضور و غیاب'!$J$5:$J$205,'حضور و غیاب'!$B$5:$B$205,$A196,'حضور و غیاب'!$A$5:$A$205,"&gt;="&amp;'تنظیمات'!$B$5,'حضور و غیاب'!$A$5:$A$205,"&lt;="&amp;'تنظیمات'!$B$6)</x:f>
        <x:v>0</x:v>
      </x:c>
      <x:c r="E196" s="20" t="n">
        <x:f>SUMIFS('حضور و غیاب'!$K$5:$K$205,'حضور و غیاب'!$B$5:$B$205,$A196,'حضور و غیاب'!$A$5:$A$205,"&gt;="&amp;'تنظیمات'!$B$5,'حضور و غیاب'!$A$5:$A$205,"&lt;="&amp;'تنظیمات'!$B$6)</x:f>
        <x:v>0</x:v>
      </x:c>
      <x:c r="F196" s="20" t="n">
        <x:f>SUMIFS('حضور و غیاب'!$G$5:$G$205,'حضور و غیاب'!$B$5:$B$205,$A196,'حضور و غیاب'!$F$5:$F$205,"Paid",'حضور و غیاب'!$A$5:$A$205,"&gt;="&amp;'تنظیمات'!$B$5,'حضور و غیاب'!$A$5:$A$205,"&lt;="&amp;'تنظیمات'!$B$6)</x:f>
        <x:v>0</x:v>
      </x:c>
      <x:c r="G196" s="20" t="n">
        <x:f>SUMIFS('حضور و غیاب'!$L$5:$L$205,'حضور و غیاب'!$B$5:$B$205,$A196,'حضور و غیاب'!$A$5:$A$205,"&gt;="&amp;'تنظیمات'!$B$5,'حضور و غیاب'!$A$5:$A$205,"&lt;="&amp;'تنظیمات'!$B$6)</x:f>
        <x:v>0</x:v>
      </x:c>
      <x:c r="H196" s="21" t="n">
        <x:f>ROUND(C196*D196,2)</x:f>
        <x:v>0</x:v>
      </x:c>
      <x:c r="I196" s="21" t="n">
        <x:f>ROUND(C196*E196*'تنظیمات'!$B$7,2)</x:f>
        <x:v>0</x:v>
      </x:c>
      <x:c r="J196" s="21" t="n">
        <x:f>ROUND(C196*F196,2)</x:f>
        <x:v>0</x:v>
      </x:c>
      <x:c r="K196" s="21" t="n">
        <x:f>ROUND((H196+I196+J196)*'تنظیمات'!$B$8,2)</x:f>
        <x:v>0</x:v>
      </x:c>
      <x:c r="L196" s="21" t="n">
        <x:f>SUM(H196:K196)</x:f>
        <x:v>0</x:v>
      </x:c>
      <x:c r="M196" s="21" t="n">
        <x:f>ROUND(MAX(0,L196-'تنظیمات'!$B$9)*'تنظیمات'!$B$10,2)</x:f>
        <x:v>0</x:v>
      </x:c>
      <x:c r="N196" s="21" t="n">
        <x:f>ROUND(MAX(0,L196*12-'تنظیمات'!$B$11)/12*'تنظیمات'!$B$12,2)</x:f>
        <x:v>0</x:v>
      </x:c>
      <x:c r="O196" s="21" t="n">
        <x:f>ROUND(L196*'تنظیمات'!$B$13,2)</x:f>
        <x:v>0</x:v>
      </x:c>
      <x:c r="P196" s="21" t="n">
        <x:f>ROUND((MIN(L196*12,'تنظیمات'!$B$17)*'تنظیمات'!$B$18+MAX(0,MIN(L196*12,'تنظیمات'!$B$19)-'تنظیمات'!$B$17)*'تنظیمات'!$B$20)/12,2)</x:f>
        <x:v>0</x:v>
      </x:c>
      <x:c r="Q196" s="21" t="n">
        <x:f>ROUND(MIN(L196*12,'تنظیمات'!$B$21)*'تنظیمات'!$B$22/12,2)</x:f>
        <x:v>0</x:v>
      </x:c>
      <x:c r="R196" s="21" t="n">
        <x:f>ROUND(MIN('تنظیمات'!$B$16,MAX(0,L196*12-'تنظیمات'!$B$14)*'تنظیمات'!$B$15)/12,2)</x:f>
        <x:v>0</x:v>
      </x:c>
      <x:c r="S196" s="21" t="n">
        <x:f>SUM(M196:R196)</x:f>
        <x:v>0</x:v>
      </x:c>
      <x:c r="T196" s="21" t="n">
        <x:f>L196-S196</x:f>
        <x:v>0</x:v>
      </x:c>
      <x:c r="U196" s="22" t="n">
        <x:f>'تنظیمات'!$B$5</x:f>
        <x:v>46266</x:v>
      </x:c>
      <x:c r="V196" s="22" t="n">
        <x:f>'تنظیمات'!$B$6</x:f>
        <x:v>46295</x:v>
      </x:c>
      <x:c r="W196" s="17" t="str">
        <x:f>IF(AND(A196&lt;&gt;"",T196&gt;=0),"OK","بررسی شود")</x:f>
        <x:v>بررسی شود</x:v>
      </x:c>
    </x:row>
    <x:row r="197">
      <x:c r="A197" s="13"/>
      <x:c r="B197" s="17" t="str">
        <x:f>IFERROR(VLOOKUP(A197,'کارمندان'!$A$5:$H$205,2,FALSE),"")</x:f>
      </x:c>
      <x:c r="C197" s="21" t="str">
        <x:f>IFERROR(VLOOKUP(A197,'کارمندان'!$A$5:$H$205,5,FALSE),0)</x:f>
      </x:c>
      <x:c r="D197" s="20" t="n">
        <x:f>SUMIFS('حضور و غیاب'!$J$5:$J$205,'حضور و غیاب'!$B$5:$B$205,$A197,'حضور و غیاب'!$A$5:$A$205,"&gt;="&amp;'تنظیمات'!$B$5,'حضور و غیاب'!$A$5:$A$205,"&lt;="&amp;'تنظیمات'!$B$6)</x:f>
        <x:v>0</x:v>
      </x:c>
      <x:c r="E197" s="20" t="n">
        <x:f>SUMIFS('حضور و غیاب'!$K$5:$K$205,'حضور و غیاب'!$B$5:$B$205,$A197,'حضور و غیاب'!$A$5:$A$205,"&gt;="&amp;'تنظیمات'!$B$5,'حضور و غیاب'!$A$5:$A$205,"&lt;="&amp;'تنظیمات'!$B$6)</x:f>
        <x:v>0</x:v>
      </x:c>
      <x:c r="F197" s="20" t="n">
        <x:f>SUMIFS('حضور و غیاب'!$G$5:$G$205,'حضور و غیاب'!$B$5:$B$205,$A197,'حضور و غیاب'!$F$5:$F$205,"Paid",'حضور و غیاب'!$A$5:$A$205,"&gt;="&amp;'تنظیمات'!$B$5,'حضور و غیاب'!$A$5:$A$205,"&lt;="&amp;'تنظیمات'!$B$6)</x:f>
        <x:v>0</x:v>
      </x:c>
      <x:c r="G197" s="20" t="n">
        <x:f>SUMIFS('حضور و غیاب'!$L$5:$L$205,'حضور و غیاب'!$B$5:$B$205,$A197,'حضور و غیاب'!$A$5:$A$205,"&gt;="&amp;'تنظیمات'!$B$5,'حضور و غیاب'!$A$5:$A$205,"&lt;="&amp;'تنظیمات'!$B$6)</x:f>
        <x:v>0</x:v>
      </x:c>
      <x:c r="H197" s="21" t="n">
        <x:f>ROUND(C197*D197,2)</x:f>
        <x:v>0</x:v>
      </x:c>
      <x:c r="I197" s="21" t="n">
        <x:f>ROUND(C197*E197*'تنظیمات'!$B$7,2)</x:f>
        <x:v>0</x:v>
      </x:c>
      <x:c r="J197" s="21" t="n">
        <x:f>ROUND(C197*F197,2)</x:f>
        <x:v>0</x:v>
      </x:c>
      <x:c r="K197" s="21" t="n">
        <x:f>ROUND((H197+I197+J197)*'تنظیمات'!$B$8,2)</x:f>
        <x:v>0</x:v>
      </x:c>
      <x:c r="L197" s="21" t="n">
        <x:f>SUM(H197:K197)</x:f>
        <x:v>0</x:v>
      </x:c>
      <x:c r="M197" s="21" t="n">
        <x:f>ROUND(MAX(0,L197-'تنظیمات'!$B$9)*'تنظیمات'!$B$10,2)</x:f>
        <x:v>0</x:v>
      </x:c>
      <x:c r="N197" s="21" t="n">
        <x:f>ROUND(MAX(0,L197*12-'تنظیمات'!$B$11)/12*'تنظیمات'!$B$12,2)</x:f>
        <x:v>0</x:v>
      </x:c>
      <x:c r="O197" s="21" t="n">
        <x:f>ROUND(L197*'تنظیمات'!$B$13,2)</x:f>
        <x:v>0</x:v>
      </x:c>
      <x:c r="P197" s="21" t="n">
        <x:f>ROUND((MIN(L197*12,'تنظیمات'!$B$17)*'تنظیمات'!$B$18+MAX(0,MIN(L197*12,'تنظیمات'!$B$19)-'تنظیمات'!$B$17)*'تنظیمات'!$B$20)/12,2)</x:f>
        <x:v>0</x:v>
      </x:c>
      <x:c r="Q197" s="21" t="n">
        <x:f>ROUND(MIN(L197*12,'تنظیمات'!$B$21)*'تنظیمات'!$B$22/12,2)</x:f>
        <x:v>0</x:v>
      </x:c>
      <x:c r="R197" s="21" t="n">
        <x:f>ROUND(MIN('تنظیمات'!$B$16,MAX(0,L197*12-'تنظیمات'!$B$14)*'تنظیمات'!$B$15)/12,2)</x:f>
        <x:v>0</x:v>
      </x:c>
      <x:c r="S197" s="21" t="n">
        <x:f>SUM(M197:R197)</x:f>
        <x:v>0</x:v>
      </x:c>
      <x:c r="T197" s="21" t="n">
        <x:f>L197-S197</x:f>
        <x:v>0</x:v>
      </x:c>
      <x:c r="U197" s="22" t="n">
        <x:f>'تنظیمات'!$B$5</x:f>
        <x:v>46266</x:v>
      </x:c>
      <x:c r="V197" s="22" t="n">
        <x:f>'تنظیمات'!$B$6</x:f>
        <x:v>46295</x:v>
      </x:c>
      <x:c r="W197" s="17" t="str">
        <x:f>IF(AND(A197&lt;&gt;"",T197&gt;=0),"OK","بررسی شود")</x:f>
        <x:v>بررسی شود</x:v>
      </x:c>
    </x:row>
    <x:row r="198">
      <x:c r="A198" s="13"/>
      <x:c r="B198" s="17" t="str">
        <x:f>IFERROR(VLOOKUP(A198,'کارمندان'!$A$5:$H$205,2,FALSE),"")</x:f>
      </x:c>
      <x:c r="C198" s="21" t="str">
        <x:f>IFERROR(VLOOKUP(A198,'کارمندان'!$A$5:$H$205,5,FALSE),0)</x:f>
      </x:c>
      <x:c r="D198" s="20" t="n">
        <x:f>SUMIFS('حضور و غیاب'!$J$5:$J$205,'حضور و غیاب'!$B$5:$B$205,$A198,'حضور و غیاب'!$A$5:$A$205,"&gt;="&amp;'تنظیمات'!$B$5,'حضور و غیاب'!$A$5:$A$205,"&lt;="&amp;'تنظیمات'!$B$6)</x:f>
        <x:v>0</x:v>
      </x:c>
      <x:c r="E198" s="20" t="n">
        <x:f>SUMIFS('حضور و غیاب'!$K$5:$K$205,'حضور و غیاب'!$B$5:$B$205,$A198,'حضور و غیاب'!$A$5:$A$205,"&gt;="&amp;'تنظیمات'!$B$5,'حضور و غیاب'!$A$5:$A$205,"&lt;="&amp;'تنظیمات'!$B$6)</x:f>
        <x:v>0</x:v>
      </x:c>
      <x:c r="F198" s="20" t="n">
        <x:f>SUMIFS('حضور و غیاب'!$G$5:$G$205,'حضور و غیاب'!$B$5:$B$205,$A198,'حضور و غیاب'!$F$5:$F$205,"Paid",'حضور و غیاب'!$A$5:$A$205,"&gt;="&amp;'تنظیمات'!$B$5,'حضور و غیاب'!$A$5:$A$205,"&lt;="&amp;'تنظیمات'!$B$6)</x:f>
        <x:v>0</x:v>
      </x:c>
      <x:c r="G198" s="20" t="n">
        <x:f>SUMIFS('حضور و غیاب'!$L$5:$L$205,'حضور و غیاب'!$B$5:$B$205,$A198,'حضور و غیاب'!$A$5:$A$205,"&gt;="&amp;'تنظیمات'!$B$5,'حضور و غیاب'!$A$5:$A$205,"&lt;="&amp;'تنظیمات'!$B$6)</x:f>
        <x:v>0</x:v>
      </x:c>
      <x:c r="H198" s="21" t="n">
        <x:f>ROUND(C198*D198,2)</x:f>
        <x:v>0</x:v>
      </x:c>
      <x:c r="I198" s="21" t="n">
        <x:f>ROUND(C198*E198*'تنظیمات'!$B$7,2)</x:f>
        <x:v>0</x:v>
      </x:c>
      <x:c r="J198" s="21" t="n">
        <x:f>ROUND(C198*F198,2)</x:f>
        <x:v>0</x:v>
      </x:c>
      <x:c r="K198" s="21" t="n">
        <x:f>ROUND((H198+I198+J198)*'تنظیمات'!$B$8,2)</x:f>
        <x:v>0</x:v>
      </x:c>
      <x:c r="L198" s="21" t="n">
        <x:f>SUM(H198:K198)</x:f>
        <x:v>0</x:v>
      </x:c>
      <x:c r="M198" s="21" t="n">
        <x:f>ROUND(MAX(0,L198-'تنظیمات'!$B$9)*'تنظیمات'!$B$10,2)</x:f>
        <x:v>0</x:v>
      </x:c>
      <x:c r="N198" s="21" t="n">
        <x:f>ROUND(MAX(0,L198*12-'تنظیمات'!$B$11)/12*'تنظیمات'!$B$12,2)</x:f>
        <x:v>0</x:v>
      </x:c>
      <x:c r="O198" s="21" t="n">
        <x:f>ROUND(L198*'تنظیمات'!$B$13,2)</x:f>
        <x:v>0</x:v>
      </x:c>
      <x:c r="P198" s="21" t="n">
        <x:f>ROUND((MIN(L198*12,'تنظیمات'!$B$17)*'تنظیمات'!$B$18+MAX(0,MIN(L198*12,'تنظیمات'!$B$19)-'تنظیمات'!$B$17)*'تنظیمات'!$B$20)/12,2)</x:f>
        <x:v>0</x:v>
      </x:c>
      <x:c r="Q198" s="21" t="n">
        <x:f>ROUND(MIN(L198*12,'تنظیمات'!$B$21)*'تنظیمات'!$B$22/12,2)</x:f>
        <x:v>0</x:v>
      </x:c>
      <x:c r="R198" s="21" t="n">
        <x:f>ROUND(MIN('تنظیمات'!$B$16,MAX(0,L198*12-'تنظیمات'!$B$14)*'تنظیمات'!$B$15)/12,2)</x:f>
        <x:v>0</x:v>
      </x:c>
      <x:c r="S198" s="21" t="n">
        <x:f>SUM(M198:R198)</x:f>
        <x:v>0</x:v>
      </x:c>
      <x:c r="T198" s="21" t="n">
        <x:f>L198-S198</x:f>
        <x:v>0</x:v>
      </x:c>
      <x:c r="U198" s="22" t="n">
        <x:f>'تنظیمات'!$B$5</x:f>
        <x:v>46266</x:v>
      </x:c>
      <x:c r="V198" s="22" t="n">
        <x:f>'تنظیمات'!$B$6</x:f>
        <x:v>46295</x:v>
      </x:c>
      <x:c r="W198" s="17" t="str">
        <x:f>IF(AND(A198&lt;&gt;"",T198&gt;=0),"OK","بررسی شود")</x:f>
        <x:v>بررسی شود</x:v>
      </x:c>
    </x:row>
    <x:row r="199">
      <x:c r="A199" s="13"/>
      <x:c r="B199" s="17" t="str">
        <x:f>IFERROR(VLOOKUP(A199,'کارمندان'!$A$5:$H$205,2,FALSE),"")</x:f>
      </x:c>
      <x:c r="C199" s="21" t="str">
        <x:f>IFERROR(VLOOKUP(A199,'کارمندان'!$A$5:$H$205,5,FALSE),0)</x:f>
      </x:c>
      <x:c r="D199" s="20" t="n">
        <x:f>SUMIFS('حضور و غیاب'!$J$5:$J$205,'حضور و غیاب'!$B$5:$B$205,$A199,'حضور و غیاب'!$A$5:$A$205,"&gt;="&amp;'تنظیمات'!$B$5,'حضور و غیاب'!$A$5:$A$205,"&lt;="&amp;'تنظیمات'!$B$6)</x:f>
        <x:v>0</x:v>
      </x:c>
      <x:c r="E199" s="20" t="n">
        <x:f>SUMIFS('حضور و غیاب'!$K$5:$K$205,'حضور و غیاب'!$B$5:$B$205,$A199,'حضور و غیاب'!$A$5:$A$205,"&gt;="&amp;'تنظیمات'!$B$5,'حضور و غیاب'!$A$5:$A$205,"&lt;="&amp;'تنظیمات'!$B$6)</x:f>
        <x:v>0</x:v>
      </x:c>
      <x:c r="F199" s="20" t="n">
        <x:f>SUMIFS('حضور و غیاب'!$G$5:$G$205,'حضور و غیاب'!$B$5:$B$205,$A199,'حضور و غیاب'!$F$5:$F$205,"Paid",'حضور و غیاب'!$A$5:$A$205,"&gt;="&amp;'تنظیمات'!$B$5,'حضور و غیاب'!$A$5:$A$205,"&lt;="&amp;'تنظیمات'!$B$6)</x:f>
        <x:v>0</x:v>
      </x:c>
      <x:c r="G199" s="20" t="n">
        <x:f>SUMIFS('حضور و غیاب'!$L$5:$L$205,'حضور و غیاب'!$B$5:$B$205,$A199,'حضور و غیاب'!$A$5:$A$205,"&gt;="&amp;'تنظیمات'!$B$5,'حضور و غیاب'!$A$5:$A$205,"&lt;="&amp;'تنظیمات'!$B$6)</x:f>
        <x:v>0</x:v>
      </x:c>
      <x:c r="H199" s="21" t="n">
        <x:f>ROUND(C199*D199,2)</x:f>
        <x:v>0</x:v>
      </x:c>
      <x:c r="I199" s="21" t="n">
        <x:f>ROUND(C199*E199*'تنظیمات'!$B$7,2)</x:f>
        <x:v>0</x:v>
      </x:c>
      <x:c r="J199" s="21" t="n">
        <x:f>ROUND(C199*F199,2)</x:f>
        <x:v>0</x:v>
      </x:c>
      <x:c r="K199" s="21" t="n">
        <x:f>ROUND((H199+I199+J199)*'تنظیمات'!$B$8,2)</x:f>
        <x:v>0</x:v>
      </x:c>
      <x:c r="L199" s="21" t="n">
        <x:f>SUM(H199:K199)</x:f>
        <x:v>0</x:v>
      </x:c>
      <x:c r="M199" s="21" t="n">
        <x:f>ROUND(MAX(0,L199-'تنظیمات'!$B$9)*'تنظیمات'!$B$10,2)</x:f>
        <x:v>0</x:v>
      </x:c>
      <x:c r="N199" s="21" t="n">
        <x:f>ROUND(MAX(0,L199*12-'تنظیمات'!$B$11)/12*'تنظیمات'!$B$12,2)</x:f>
        <x:v>0</x:v>
      </x:c>
      <x:c r="O199" s="21" t="n">
        <x:f>ROUND(L199*'تنظیمات'!$B$13,2)</x:f>
        <x:v>0</x:v>
      </x:c>
      <x:c r="P199" s="21" t="n">
        <x:f>ROUND((MIN(L199*12,'تنظیمات'!$B$17)*'تنظیمات'!$B$18+MAX(0,MIN(L199*12,'تنظیمات'!$B$19)-'تنظیمات'!$B$17)*'تنظیمات'!$B$20)/12,2)</x:f>
        <x:v>0</x:v>
      </x:c>
      <x:c r="Q199" s="21" t="n">
        <x:f>ROUND(MIN(L199*12,'تنظیمات'!$B$21)*'تنظیمات'!$B$22/12,2)</x:f>
        <x:v>0</x:v>
      </x:c>
      <x:c r="R199" s="21" t="n">
        <x:f>ROUND(MIN('تنظیمات'!$B$16,MAX(0,L199*12-'تنظیمات'!$B$14)*'تنظیمات'!$B$15)/12,2)</x:f>
        <x:v>0</x:v>
      </x:c>
      <x:c r="S199" s="21" t="n">
        <x:f>SUM(M199:R199)</x:f>
        <x:v>0</x:v>
      </x:c>
      <x:c r="T199" s="21" t="n">
        <x:f>L199-S199</x:f>
        <x:v>0</x:v>
      </x:c>
      <x:c r="U199" s="22" t="n">
        <x:f>'تنظیمات'!$B$5</x:f>
        <x:v>46266</x:v>
      </x:c>
      <x:c r="V199" s="22" t="n">
        <x:f>'تنظیمات'!$B$6</x:f>
        <x:v>46295</x:v>
      </x:c>
      <x:c r="W199" s="17" t="str">
        <x:f>IF(AND(A199&lt;&gt;"",T199&gt;=0),"OK","بررسی شود")</x:f>
        <x:v>بررسی شود</x:v>
      </x:c>
    </x:row>
    <x:row r="200">
      <x:c r="A200" s="13"/>
      <x:c r="B200" s="17" t="str">
        <x:f>IFERROR(VLOOKUP(A200,'کارمندان'!$A$5:$H$205,2,FALSE),"")</x:f>
      </x:c>
      <x:c r="C200" s="21" t="str">
        <x:f>IFERROR(VLOOKUP(A200,'کارمندان'!$A$5:$H$205,5,FALSE),0)</x:f>
      </x:c>
      <x:c r="D200" s="20" t="n">
        <x:f>SUMIFS('حضور و غیاب'!$J$5:$J$205,'حضور و غیاب'!$B$5:$B$205,$A200,'حضور و غیاب'!$A$5:$A$205,"&gt;="&amp;'تنظیمات'!$B$5,'حضور و غیاب'!$A$5:$A$205,"&lt;="&amp;'تنظیمات'!$B$6)</x:f>
        <x:v>0</x:v>
      </x:c>
      <x:c r="E200" s="20" t="n">
        <x:f>SUMIFS('حضور و غیاب'!$K$5:$K$205,'حضور و غیاب'!$B$5:$B$205,$A200,'حضور و غیاب'!$A$5:$A$205,"&gt;="&amp;'تنظیمات'!$B$5,'حضور و غیاب'!$A$5:$A$205,"&lt;="&amp;'تنظیمات'!$B$6)</x:f>
        <x:v>0</x:v>
      </x:c>
      <x:c r="F200" s="20" t="n">
        <x:f>SUMIFS('حضور و غیاب'!$G$5:$G$205,'حضور و غیاب'!$B$5:$B$205,$A200,'حضور و غیاب'!$F$5:$F$205,"Paid",'حضور و غیاب'!$A$5:$A$205,"&gt;="&amp;'تنظیمات'!$B$5,'حضور و غیاب'!$A$5:$A$205,"&lt;="&amp;'تنظیمات'!$B$6)</x:f>
        <x:v>0</x:v>
      </x:c>
      <x:c r="G200" s="20" t="n">
        <x:f>SUMIFS('حضور و غیاب'!$L$5:$L$205,'حضور و غیاب'!$B$5:$B$205,$A200,'حضور و غیاب'!$A$5:$A$205,"&gt;="&amp;'تنظیمات'!$B$5,'حضور و غیاب'!$A$5:$A$205,"&lt;="&amp;'تنظیمات'!$B$6)</x:f>
        <x:v>0</x:v>
      </x:c>
      <x:c r="H200" s="21" t="n">
        <x:f>ROUND(C200*D200,2)</x:f>
        <x:v>0</x:v>
      </x:c>
      <x:c r="I200" s="21" t="n">
        <x:f>ROUND(C200*E200*'تنظیمات'!$B$7,2)</x:f>
        <x:v>0</x:v>
      </x:c>
      <x:c r="J200" s="21" t="n">
        <x:f>ROUND(C200*F200,2)</x:f>
        <x:v>0</x:v>
      </x:c>
      <x:c r="K200" s="21" t="n">
        <x:f>ROUND((H200+I200+J200)*'تنظیمات'!$B$8,2)</x:f>
        <x:v>0</x:v>
      </x:c>
      <x:c r="L200" s="21" t="n">
        <x:f>SUM(H200:K200)</x:f>
        <x:v>0</x:v>
      </x:c>
      <x:c r="M200" s="21" t="n">
        <x:f>ROUND(MAX(0,L200-'تنظیمات'!$B$9)*'تنظیمات'!$B$10,2)</x:f>
        <x:v>0</x:v>
      </x:c>
      <x:c r="N200" s="21" t="n">
        <x:f>ROUND(MAX(0,L200*12-'تنظیمات'!$B$11)/12*'تنظیمات'!$B$12,2)</x:f>
        <x:v>0</x:v>
      </x:c>
      <x:c r="O200" s="21" t="n">
        <x:f>ROUND(L200*'تنظیمات'!$B$13,2)</x:f>
        <x:v>0</x:v>
      </x:c>
      <x:c r="P200" s="21" t="n">
        <x:f>ROUND((MIN(L200*12,'تنظیمات'!$B$17)*'تنظیمات'!$B$18+MAX(0,MIN(L200*12,'تنظیمات'!$B$19)-'تنظیمات'!$B$17)*'تنظیمات'!$B$20)/12,2)</x:f>
        <x:v>0</x:v>
      </x:c>
      <x:c r="Q200" s="21" t="n">
        <x:f>ROUND(MIN(L200*12,'تنظیمات'!$B$21)*'تنظیمات'!$B$22/12,2)</x:f>
        <x:v>0</x:v>
      </x:c>
      <x:c r="R200" s="21" t="n">
        <x:f>ROUND(MIN('تنظیمات'!$B$16,MAX(0,L200*12-'تنظیمات'!$B$14)*'تنظیمات'!$B$15)/12,2)</x:f>
        <x:v>0</x:v>
      </x:c>
      <x:c r="S200" s="21" t="n">
        <x:f>SUM(M200:R200)</x:f>
        <x:v>0</x:v>
      </x:c>
      <x:c r="T200" s="21" t="n">
        <x:f>L200-S200</x:f>
        <x:v>0</x:v>
      </x:c>
      <x:c r="U200" s="22" t="n">
        <x:f>'تنظیمات'!$B$5</x:f>
        <x:v>46266</x:v>
      </x:c>
      <x:c r="V200" s="22" t="n">
        <x:f>'تنظیمات'!$B$6</x:f>
        <x:v>46295</x:v>
      </x:c>
      <x:c r="W200" s="17" t="str">
        <x:f>IF(AND(A200&lt;&gt;"",T200&gt;=0),"OK","بررسی شود")</x:f>
        <x:v>بررسی شود</x:v>
      </x:c>
    </x:row>
    <x:row r="201">
      <x:c r="A201" s="13"/>
      <x:c r="B201" s="17" t="str">
        <x:f>IFERROR(VLOOKUP(A201,'کارمندان'!$A$5:$H$205,2,FALSE),"")</x:f>
      </x:c>
      <x:c r="C201" s="21" t="str">
        <x:f>IFERROR(VLOOKUP(A201,'کارمندان'!$A$5:$H$205,5,FALSE),0)</x:f>
      </x:c>
      <x:c r="D201" s="20" t="n">
        <x:f>SUMIFS('حضور و غیاب'!$J$5:$J$205,'حضور و غیاب'!$B$5:$B$205,$A201,'حضور و غیاب'!$A$5:$A$205,"&gt;="&amp;'تنظیمات'!$B$5,'حضور و غیاب'!$A$5:$A$205,"&lt;="&amp;'تنظیمات'!$B$6)</x:f>
        <x:v>0</x:v>
      </x:c>
      <x:c r="E201" s="20" t="n">
        <x:f>SUMIFS('حضور و غیاب'!$K$5:$K$205,'حضور و غیاب'!$B$5:$B$205,$A201,'حضور و غیاب'!$A$5:$A$205,"&gt;="&amp;'تنظیمات'!$B$5,'حضور و غیاب'!$A$5:$A$205,"&lt;="&amp;'تنظیمات'!$B$6)</x:f>
        <x:v>0</x:v>
      </x:c>
      <x:c r="F201" s="20" t="n">
        <x:f>SUMIFS('حضور و غیاب'!$G$5:$G$205,'حضور و غیاب'!$B$5:$B$205,$A201,'حضور و غیاب'!$F$5:$F$205,"Paid",'حضور و غیاب'!$A$5:$A$205,"&gt;="&amp;'تنظیمات'!$B$5,'حضور و غیاب'!$A$5:$A$205,"&lt;="&amp;'تنظیمات'!$B$6)</x:f>
        <x:v>0</x:v>
      </x:c>
      <x:c r="G201" s="20" t="n">
        <x:f>SUMIFS('حضور و غیاب'!$L$5:$L$205,'حضور و غیاب'!$B$5:$B$205,$A201,'حضور و غیاب'!$A$5:$A$205,"&gt;="&amp;'تنظیمات'!$B$5,'حضور و غیاب'!$A$5:$A$205,"&lt;="&amp;'تنظیمات'!$B$6)</x:f>
        <x:v>0</x:v>
      </x:c>
      <x:c r="H201" s="21" t="n">
        <x:f>ROUND(C201*D201,2)</x:f>
        <x:v>0</x:v>
      </x:c>
      <x:c r="I201" s="21" t="n">
        <x:f>ROUND(C201*E201*'تنظیمات'!$B$7,2)</x:f>
        <x:v>0</x:v>
      </x:c>
      <x:c r="J201" s="21" t="n">
        <x:f>ROUND(C201*F201,2)</x:f>
        <x:v>0</x:v>
      </x:c>
      <x:c r="K201" s="21" t="n">
        <x:f>ROUND((H201+I201+J201)*'تنظیمات'!$B$8,2)</x:f>
        <x:v>0</x:v>
      </x:c>
      <x:c r="L201" s="21" t="n">
        <x:f>SUM(H201:K201)</x:f>
        <x:v>0</x:v>
      </x:c>
      <x:c r="M201" s="21" t="n">
        <x:f>ROUND(MAX(0,L201-'تنظیمات'!$B$9)*'تنظیمات'!$B$10,2)</x:f>
        <x:v>0</x:v>
      </x:c>
      <x:c r="N201" s="21" t="n">
        <x:f>ROUND(MAX(0,L201*12-'تنظیمات'!$B$11)/12*'تنظیمات'!$B$12,2)</x:f>
        <x:v>0</x:v>
      </x:c>
      <x:c r="O201" s="21" t="n">
        <x:f>ROUND(L201*'تنظیمات'!$B$13,2)</x:f>
        <x:v>0</x:v>
      </x:c>
      <x:c r="P201" s="21" t="n">
        <x:f>ROUND((MIN(L201*12,'تنظیمات'!$B$17)*'تنظیمات'!$B$18+MAX(0,MIN(L201*12,'تنظیمات'!$B$19)-'تنظیمات'!$B$17)*'تنظیمات'!$B$20)/12,2)</x:f>
        <x:v>0</x:v>
      </x:c>
      <x:c r="Q201" s="21" t="n">
        <x:f>ROUND(MIN(L201*12,'تنظیمات'!$B$21)*'تنظیمات'!$B$22/12,2)</x:f>
        <x:v>0</x:v>
      </x:c>
      <x:c r="R201" s="21" t="n">
        <x:f>ROUND(MIN('تنظیمات'!$B$16,MAX(0,L201*12-'تنظیمات'!$B$14)*'تنظیمات'!$B$15)/12,2)</x:f>
        <x:v>0</x:v>
      </x:c>
      <x:c r="S201" s="21" t="n">
        <x:f>SUM(M201:R201)</x:f>
        <x:v>0</x:v>
      </x:c>
      <x:c r="T201" s="21" t="n">
        <x:f>L201-S201</x:f>
        <x:v>0</x:v>
      </x:c>
      <x:c r="U201" s="22" t="n">
        <x:f>'تنظیمات'!$B$5</x:f>
        <x:v>46266</x:v>
      </x:c>
      <x:c r="V201" s="22" t="n">
        <x:f>'تنظیمات'!$B$6</x:f>
        <x:v>46295</x:v>
      </x:c>
      <x:c r="W201" s="17" t="str">
        <x:f>IF(AND(A201&lt;&gt;"",T201&gt;=0),"OK","بررسی شود")</x:f>
        <x:v>بررسی شود</x:v>
      </x:c>
    </x:row>
    <x:row r="202">
      <x:c r="A202" s="13"/>
      <x:c r="B202" s="17" t="str">
        <x:f>IFERROR(VLOOKUP(A202,'کارمندان'!$A$5:$H$205,2,FALSE),"")</x:f>
      </x:c>
      <x:c r="C202" s="21" t="str">
        <x:f>IFERROR(VLOOKUP(A202,'کارمندان'!$A$5:$H$205,5,FALSE),0)</x:f>
      </x:c>
      <x:c r="D202" s="20" t="n">
        <x:f>SUMIFS('حضور و غیاب'!$J$5:$J$205,'حضور و غیاب'!$B$5:$B$205,$A202,'حضور و غیاب'!$A$5:$A$205,"&gt;="&amp;'تنظیمات'!$B$5,'حضور و غیاب'!$A$5:$A$205,"&lt;="&amp;'تنظیمات'!$B$6)</x:f>
        <x:v>0</x:v>
      </x:c>
      <x:c r="E202" s="20" t="n">
        <x:f>SUMIFS('حضور و غیاب'!$K$5:$K$205,'حضور و غیاب'!$B$5:$B$205,$A202,'حضور و غیاب'!$A$5:$A$205,"&gt;="&amp;'تنظیمات'!$B$5,'حضور و غیاب'!$A$5:$A$205,"&lt;="&amp;'تنظیمات'!$B$6)</x:f>
        <x:v>0</x:v>
      </x:c>
      <x:c r="F202" s="20" t="n">
        <x:f>SUMIFS('حضور و غیاب'!$G$5:$G$205,'حضور و غیاب'!$B$5:$B$205,$A202,'حضور و غیاب'!$F$5:$F$205,"Paid",'حضور و غیاب'!$A$5:$A$205,"&gt;="&amp;'تنظیمات'!$B$5,'حضور و غیاب'!$A$5:$A$205,"&lt;="&amp;'تنظیمات'!$B$6)</x:f>
        <x:v>0</x:v>
      </x:c>
      <x:c r="G202" s="20" t="n">
        <x:f>SUMIFS('حضور و غیاب'!$L$5:$L$205,'حضور و غیاب'!$B$5:$B$205,$A202,'حضور و غیاب'!$A$5:$A$205,"&gt;="&amp;'تنظیمات'!$B$5,'حضور و غیاب'!$A$5:$A$205,"&lt;="&amp;'تنظیمات'!$B$6)</x:f>
        <x:v>0</x:v>
      </x:c>
      <x:c r="H202" s="21" t="n">
        <x:f>ROUND(C202*D202,2)</x:f>
        <x:v>0</x:v>
      </x:c>
      <x:c r="I202" s="21" t="n">
        <x:f>ROUND(C202*E202*'تنظیمات'!$B$7,2)</x:f>
        <x:v>0</x:v>
      </x:c>
      <x:c r="J202" s="21" t="n">
        <x:f>ROUND(C202*F202,2)</x:f>
        <x:v>0</x:v>
      </x:c>
      <x:c r="K202" s="21" t="n">
        <x:f>ROUND((H202+I202+J202)*'تنظیمات'!$B$8,2)</x:f>
        <x:v>0</x:v>
      </x:c>
      <x:c r="L202" s="21" t="n">
        <x:f>SUM(H202:K202)</x:f>
        <x:v>0</x:v>
      </x:c>
      <x:c r="M202" s="21" t="n">
        <x:f>ROUND(MAX(0,L202-'تنظیمات'!$B$9)*'تنظیمات'!$B$10,2)</x:f>
        <x:v>0</x:v>
      </x:c>
      <x:c r="N202" s="21" t="n">
        <x:f>ROUND(MAX(0,L202*12-'تنظیمات'!$B$11)/12*'تنظیمات'!$B$12,2)</x:f>
        <x:v>0</x:v>
      </x:c>
      <x:c r="O202" s="21" t="n">
        <x:f>ROUND(L202*'تنظیمات'!$B$13,2)</x:f>
        <x:v>0</x:v>
      </x:c>
      <x:c r="P202" s="21" t="n">
        <x:f>ROUND((MIN(L202*12,'تنظیمات'!$B$17)*'تنظیمات'!$B$18+MAX(0,MIN(L202*12,'تنظیمات'!$B$19)-'تنظیمات'!$B$17)*'تنظیمات'!$B$20)/12,2)</x:f>
        <x:v>0</x:v>
      </x:c>
      <x:c r="Q202" s="21" t="n">
        <x:f>ROUND(MIN(L202*12,'تنظیمات'!$B$21)*'تنظیمات'!$B$22/12,2)</x:f>
        <x:v>0</x:v>
      </x:c>
      <x:c r="R202" s="21" t="n">
        <x:f>ROUND(MIN('تنظیمات'!$B$16,MAX(0,L202*12-'تنظیمات'!$B$14)*'تنظیمات'!$B$15)/12,2)</x:f>
        <x:v>0</x:v>
      </x:c>
      <x:c r="S202" s="21" t="n">
        <x:f>SUM(M202:R202)</x:f>
        <x:v>0</x:v>
      </x:c>
      <x:c r="T202" s="21" t="n">
        <x:f>L202-S202</x:f>
        <x:v>0</x:v>
      </x:c>
      <x:c r="U202" s="22" t="n">
        <x:f>'تنظیمات'!$B$5</x:f>
        <x:v>46266</x:v>
      </x:c>
      <x:c r="V202" s="22" t="n">
        <x:f>'تنظیمات'!$B$6</x:f>
        <x:v>46295</x:v>
      </x:c>
      <x:c r="W202" s="17" t="str">
        <x:f>IF(AND(A202&lt;&gt;"",T202&gt;=0),"OK","بررسی شود")</x:f>
        <x:v>بررسی شود</x:v>
      </x:c>
    </x:row>
    <x:row r="203">
      <x:c r="A203" s="13"/>
      <x:c r="B203" s="17" t="str">
        <x:f>IFERROR(VLOOKUP(A203,'کارمندان'!$A$5:$H$205,2,FALSE),"")</x:f>
      </x:c>
      <x:c r="C203" s="21" t="str">
        <x:f>IFERROR(VLOOKUP(A203,'کارمندان'!$A$5:$H$205,5,FALSE),0)</x:f>
      </x:c>
      <x:c r="D203" s="20" t="n">
        <x:f>SUMIFS('حضور و غیاب'!$J$5:$J$205,'حضور و غیاب'!$B$5:$B$205,$A203,'حضور و غیاب'!$A$5:$A$205,"&gt;="&amp;'تنظیمات'!$B$5,'حضور و غیاب'!$A$5:$A$205,"&lt;="&amp;'تنظیمات'!$B$6)</x:f>
        <x:v>0</x:v>
      </x:c>
      <x:c r="E203" s="20" t="n">
        <x:f>SUMIFS('حضور و غیاب'!$K$5:$K$205,'حضور و غیاب'!$B$5:$B$205,$A203,'حضور و غیاب'!$A$5:$A$205,"&gt;="&amp;'تنظیمات'!$B$5,'حضور و غیاب'!$A$5:$A$205,"&lt;="&amp;'تنظیمات'!$B$6)</x:f>
        <x:v>0</x:v>
      </x:c>
      <x:c r="F203" s="20" t="n">
        <x:f>SUMIFS('حضور و غیاب'!$G$5:$G$205,'حضور و غیاب'!$B$5:$B$205,$A203,'حضور و غیاب'!$F$5:$F$205,"Paid",'حضور و غیاب'!$A$5:$A$205,"&gt;="&amp;'تنظیمات'!$B$5,'حضور و غیاب'!$A$5:$A$205,"&lt;="&amp;'تنظیمات'!$B$6)</x:f>
        <x:v>0</x:v>
      </x:c>
      <x:c r="G203" s="20" t="n">
        <x:f>SUMIFS('حضور و غیاب'!$L$5:$L$205,'حضور و غیاب'!$B$5:$B$205,$A203,'حضور و غیاب'!$A$5:$A$205,"&gt;="&amp;'تنظیمات'!$B$5,'حضور و غیاب'!$A$5:$A$205,"&lt;="&amp;'تنظیمات'!$B$6)</x:f>
        <x:v>0</x:v>
      </x:c>
      <x:c r="H203" s="21" t="n">
        <x:f>ROUND(C203*D203,2)</x:f>
        <x:v>0</x:v>
      </x:c>
      <x:c r="I203" s="21" t="n">
        <x:f>ROUND(C203*E203*'تنظیمات'!$B$7,2)</x:f>
        <x:v>0</x:v>
      </x:c>
      <x:c r="J203" s="21" t="n">
        <x:f>ROUND(C203*F203,2)</x:f>
        <x:v>0</x:v>
      </x:c>
      <x:c r="K203" s="21" t="n">
        <x:f>ROUND((H203+I203+J203)*'تنظیمات'!$B$8,2)</x:f>
        <x:v>0</x:v>
      </x:c>
      <x:c r="L203" s="21" t="n">
        <x:f>SUM(H203:K203)</x:f>
        <x:v>0</x:v>
      </x:c>
      <x:c r="M203" s="21" t="n">
        <x:f>ROUND(MAX(0,L203-'تنظیمات'!$B$9)*'تنظیمات'!$B$10,2)</x:f>
        <x:v>0</x:v>
      </x:c>
      <x:c r="N203" s="21" t="n">
        <x:f>ROUND(MAX(0,L203*12-'تنظیمات'!$B$11)/12*'تنظیمات'!$B$12,2)</x:f>
        <x:v>0</x:v>
      </x:c>
      <x:c r="O203" s="21" t="n">
        <x:f>ROUND(L203*'تنظیمات'!$B$13,2)</x:f>
        <x:v>0</x:v>
      </x:c>
      <x:c r="P203" s="21" t="n">
        <x:f>ROUND((MIN(L203*12,'تنظیمات'!$B$17)*'تنظیمات'!$B$18+MAX(0,MIN(L203*12,'تنظیمات'!$B$19)-'تنظیمات'!$B$17)*'تنظیمات'!$B$20)/12,2)</x:f>
        <x:v>0</x:v>
      </x:c>
      <x:c r="Q203" s="21" t="n">
        <x:f>ROUND(MIN(L203*12,'تنظیمات'!$B$21)*'تنظیمات'!$B$22/12,2)</x:f>
        <x:v>0</x:v>
      </x:c>
      <x:c r="R203" s="21" t="n">
        <x:f>ROUND(MIN('تنظیمات'!$B$16,MAX(0,L203*12-'تنظیمات'!$B$14)*'تنظیمات'!$B$15)/12,2)</x:f>
        <x:v>0</x:v>
      </x:c>
      <x:c r="S203" s="21" t="n">
        <x:f>SUM(M203:R203)</x:f>
        <x:v>0</x:v>
      </x:c>
      <x:c r="T203" s="21" t="n">
        <x:f>L203-S203</x:f>
        <x:v>0</x:v>
      </x:c>
      <x:c r="U203" s="22" t="n">
        <x:f>'تنظیمات'!$B$5</x:f>
        <x:v>46266</x:v>
      </x:c>
      <x:c r="V203" s="22" t="n">
        <x:f>'تنظیمات'!$B$6</x:f>
        <x:v>46295</x:v>
      </x:c>
      <x:c r="W203" s="17" t="str">
        <x:f>IF(AND(A203&lt;&gt;"",T203&gt;=0),"OK","بررسی شود")</x:f>
        <x:v>بررسی شود</x:v>
      </x:c>
    </x:row>
    <x:row r="204">
      <x:c r="A204" s="13"/>
      <x:c r="B204" s="17" t="str">
        <x:f>IFERROR(VLOOKUP(A204,'کارمندان'!$A$5:$H$205,2,FALSE),"")</x:f>
      </x:c>
      <x:c r="C204" s="21" t="str">
        <x:f>IFERROR(VLOOKUP(A204,'کارمندان'!$A$5:$H$205,5,FALSE),0)</x:f>
      </x:c>
      <x:c r="D204" s="20" t="n">
        <x:f>SUMIFS('حضور و غیاب'!$J$5:$J$205,'حضور و غیاب'!$B$5:$B$205,$A204,'حضور و غیاب'!$A$5:$A$205,"&gt;="&amp;'تنظیمات'!$B$5,'حضور و غیاب'!$A$5:$A$205,"&lt;="&amp;'تنظیمات'!$B$6)</x:f>
        <x:v>0</x:v>
      </x:c>
      <x:c r="E204" s="20" t="n">
        <x:f>SUMIFS('حضور و غیاب'!$K$5:$K$205,'حضور و غیاب'!$B$5:$B$205,$A204,'حضور و غیاب'!$A$5:$A$205,"&gt;="&amp;'تنظیمات'!$B$5,'حضور و غیاب'!$A$5:$A$205,"&lt;="&amp;'تنظیمات'!$B$6)</x:f>
        <x:v>0</x:v>
      </x:c>
      <x:c r="F204" s="20" t="n">
        <x:f>SUMIFS('حضور و غیاب'!$G$5:$G$205,'حضور و غیاب'!$B$5:$B$205,$A204,'حضور و غیاب'!$F$5:$F$205,"Paid",'حضور و غیاب'!$A$5:$A$205,"&gt;="&amp;'تنظیمات'!$B$5,'حضور و غیاب'!$A$5:$A$205,"&lt;="&amp;'تنظیمات'!$B$6)</x:f>
        <x:v>0</x:v>
      </x:c>
      <x:c r="G204" s="20" t="n">
        <x:f>SUMIFS('حضور و غیاب'!$L$5:$L$205,'حضور و غیاب'!$B$5:$B$205,$A204,'حضور و غیاب'!$A$5:$A$205,"&gt;="&amp;'تنظیمات'!$B$5,'حضور و غیاب'!$A$5:$A$205,"&lt;="&amp;'تنظیمات'!$B$6)</x:f>
        <x:v>0</x:v>
      </x:c>
      <x:c r="H204" s="21" t="n">
        <x:f>ROUND(C204*D204,2)</x:f>
        <x:v>0</x:v>
      </x:c>
      <x:c r="I204" s="21" t="n">
        <x:f>ROUND(C204*E204*'تنظیمات'!$B$7,2)</x:f>
        <x:v>0</x:v>
      </x:c>
      <x:c r="J204" s="21" t="n">
        <x:f>ROUND(C204*F204,2)</x:f>
        <x:v>0</x:v>
      </x:c>
      <x:c r="K204" s="21" t="n">
        <x:f>ROUND((H204+I204+J204)*'تنظیمات'!$B$8,2)</x:f>
        <x:v>0</x:v>
      </x:c>
      <x:c r="L204" s="21" t="n">
        <x:f>SUM(H204:K204)</x:f>
        <x:v>0</x:v>
      </x:c>
      <x:c r="M204" s="21" t="n">
        <x:f>ROUND(MAX(0,L204-'تنظیمات'!$B$9)*'تنظیمات'!$B$10,2)</x:f>
        <x:v>0</x:v>
      </x:c>
      <x:c r="N204" s="21" t="n">
        <x:f>ROUND(MAX(0,L204*12-'تنظیمات'!$B$11)/12*'تنظیمات'!$B$12,2)</x:f>
        <x:v>0</x:v>
      </x:c>
      <x:c r="O204" s="21" t="n">
        <x:f>ROUND(L204*'تنظیمات'!$B$13,2)</x:f>
        <x:v>0</x:v>
      </x:c>
      <x:c r="P204" s="21" t="n">
        <x:f>ROUND((MIN(L204*12,'تنظیمات'!$B$17)*'تنظیمات'!$B$18+MAX(0,MIN(L204*12,'تنظیمات'!$B$19)-'تنظیمات'!$B$17)*'تنظیمات'!$B$20)/12,2)</x:f>
        <x:v>0</x:v>
      </x:c>
      <x:c r="Q204" s="21" t="n">
        <x:f>ROUND(MIN(L204*12,'تنظیمات'!$B$21)*'تنظیمات'!$B$22/12,2)</x:f>
        <x:v>0</x:v>
      </x:c>
      <x:c r="R204" s="21" t="n">
        <x:f>ROUND(MIN('تنظیمات'!$B$16,MAX(0,L204*12-'تنظیمات'!$B$14)*'تنظیمات'!$B$15)/12,2)</x:f>
        <x:v>0</x:v>
      </x:c>
      <x:c r="S204" s="21" t="n">
        <x:f>SUM(M204:R204)</x:f>
        <x:v>0</x:v>
      </x:c>
      <x:c r="T204" s="21" t="n">
        <x:f>L204-S204</x:f>
        <x:v>0</x:v>
      </x:c>
      <x:c r="U204" s="22" t="n">
        <x:f>'تنظیمات'!$B$5</x:f>
        <x:v>46266</x:v>
      </x:c>
      <x:c r="V204" s="22" t="n">
        <x:f>'تنظیمات'!$B$6</x:f>
        <x:v>46295</x:v>
      </x:c>
      <x:c r="W204" s="17" t="str">
        <x:f>IF(AND(A204&lt;&gt;"",T204&gt;=0),"OK","بررسی شود")</x:f>
        <x:v>بررسی شود</x:v>
      </x:c>
    </x:row>
    <x:row r="205">
      <x:c r="A205" s="13"/>
      <x:c r="B205" s="17" t="str">
        <x:f>IFERROR(VLOOKUP(A205,'کارمندان'!$A$5:$H$205,2,FALSE),"")</x:f>
      </x:c>
      <x:c r="C205" s="21" t="str">
        <x:f>IFERROR(VLOOKUP(A205,'کارمندان'!$A$5:$H$205,5,FALSE),0)</x:f>
      </x:c>
      <x:c r="D205" s="20" t="n">
        <x:f>SUMIFS('حضور و غیاب'!$J$5:$J$205,'حضور و غیاب'!$B$5:$B$205,$A205,'حضور و غیاب'!$A$5:$A$205,"&gt;="&amp;'تنظیمات'!$B$5,'حضور و غیاب'!$A$5:$A$205,"&lt;="&amp;'تنظیمات'!$B$6)</x:f>
        <x:v>0</x:v>
      </x:c>
      <x:c r="E205" s="20" t="n">
        <x:f>SUMIFS('حضور و غیاب'!$K$5:$K$205,'حضور و غیاب'!$B$5:$B$205,$A205,'حضور و غیاب'!$A$5:$A$205,"&gt;="&amp;'تنظیمات'!$B$5,'حضور و غیاب'!$A$5:$A$205,"&lt;="&amp;'تنظیمات'!$B$6)</x:f>
        <x:v>0</x:v>
      </x:c>
      <x:c r="F205" s="20" t="n">
        <x:f>SUMIFS('حضور و غیاب'!$G$5:$G$205,'حضور و غیاب'!$B$5:$B$205,$A205,'حضور و غیاب'!$F$5:$F$205,"Paid",'حضور و غیاب'!$A$5:$A$205,"&gt;="&amp;'تنظیمات'!$B$5,'حضور و غیاب'!$A$5:$A$205,"&lt;="&amp;'تنظیمات'!$B$6)</x:f>
        <x:v>0</x:v>
      </x:c>
      <x:c r="G205" s="20" t="n">
        <x:f>SUMIFS('حضور و غیاب'!$L$5:$L$205,'حضور و غیاب'!$B$5:$B$205,$A205,'حضور و غیاب'!$A$5:$A$205,"&gt;="&amp;'تنظیمات'!$B$5,'حضور و غیاب'!$A$5:$A$205,"&lt;="&amp;'تنظیمات'!$B$6)</x:f>
        <x:v>0</x:v>
      </x:c>
      <x:c r="H205" s="21" t="n">
        <x:f>ROUND(C205*D205,2)</x:f>
        <x:v>0</x:v>
      </x:c>
      <x:c r="I205" s="21" t="n">
        <x:f>ROUND(C205*E205*'تنظیمات'!$B$7,2)</x:f>
        <x:v>0</x:v>
      </x:c>
      <x:c r="J205" s="21" t="n">
        <x:f>ROUND(C205*F205,2)</x:f>
        <x:v>0</x:v>
      </x:c>
      <x:c r="K205" s="21" t="n">
        <x:f>ROUND((H205+I205+J205)*'تنظیمات'!$B$8,2)</x:f>
        <x:v>0</x:v>
      </x:c>
      <x:c r="L205" s="21" t="n">
        <x:f>SUM(H205:K205)</x:f>
        <x:v>0</x:v>
      </x:c>
      <x:c r="M205" s="21" t="n">
        <x:f>ROUND(MAX(0,L205-'تنظیمات'!$B$9)*'تنظیمات'!$B$10,2)</x:f>
        <x:v>0</x:v>
      </x:c>
      <x:c r="N205" s="21" t="n">
        <x:f>ROUND(MAX(0,L205*12-'تنظیمات'!$B$11)/12*'تنظیمات'!$B$12,2)</x:f>
        <x:v>0</x:v>
      </x:c>
      <x:c r="O205" s="21" t="n">
        <x:f>ROUND(L205*'تنظیمات'!$B$13,2)</x:f>
        <x:v>0</x:v>
      </x:c>
      <x:c r="P205" s="21" t="n">
        <x:f>ROUND((MIN(L205*12,'تنظیمات'!$B$17)*'تنظیمات'!$B$18+MAX(0,MIN(L205*12,'تنظیمات'!$B$19)-'تنظیمات'!$B$17)*'تنظیمات'!$B$20)/12,2)</x:f>
        <x:v>0</x:v>
      </x:c>
      <x:c r="Q205" s="21" t="n">
        <x:f>ROUND(MIN(L205*12,'تنظیمات'!$B$21)*'تنظیمات'!$B$22/12,2)</x:f>
        <x:v>0</x:v>
      </x:c>
      <x:c r="R205" s="21" t="n">
        <x:f>ROUND(MIN('تنظیمات'!$B$16,MAX(0,L205*12-'تنظیمات'!$B$14)*'تنظیمات'!$B$15)/12,2)</x:f>
        <x:v>0</x:v>
      </x:c>
      <x:c r="S205" s="21" t="n">
        <x:f>SUM(M205:R205)</x:f>
        <x:v>0</x:v>
      </x:c>
      <x:c r="T205" s="21" t="n">
        <x:f>L205-S205</x:f>
        <x:v>0</x:v>
      </x:c>
      <x:c r="U205" s="22" t="n">
        <x:f>'تنظیمات'!$B$5</x:f>
        <x:v>46266</x:v>
      </x:c>
      <x:c r="V205" s="22" t="n">
        <x:f>'تنظیمات'!$B$6</x:f>
        <x:v>46295</x:v>
      </x:c>
      <x:c r="W205" s="17" t="str">
        <x:f>IF(AND(A205&lt;&gt;"",T205&gt;=0),"OK","بررسی شود")</x:f>
        <x:v>بررسی شود</x:v>
      </x:c>
    </x:row>
  </x:sheetData>
  <x:mergeCells>
    <x:mergeCell ref="A1:W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</x:cols>
  <x:sheetData>
    <x:row r="1" ht="26" customHeight="1">
      <x:c r="A1" s="4" t="str">
        <x:v>فیش حقوق دوره جاری</x:v>
      </x:c>
      <x:c r="B1" s="4"/>
      <x:c r="C1" s="4"/>
      <x:c r="D1" s="4"/>
      <x:c r="E1" s="4"/>
      <x:c r="F1" s="4"/>
    </x:row>
    <x:row r="2" ht="26" customHeight="1">
      <x:c r="A2" s="4"/>
      <x:c r="B2" s="4"/>
      <x:c r="C2" s="4"/>
      <x:c r="D2" s="4"/>
      <x:c r="E2" s="4"/>
      <x:c r="F2" s="4"/>
    </x:row>
    <x:row r="4">
      <x:c r="A4" s="8" t="str">
        <x:v>کد پرسنلی</x:v>
      </x:c>
      <x:c r="B4" s="24" t="str">
        <x:v>EMP-001</x:v>
      </x:c>
    </x:row>
    <x:row r="6">
      <x:c r="A6" s="8" t="str">
        <x:v>نام</x:v>
      </x:c>
      <x:c r="B6" s="26" t="str">
        <x:f>IFERROR(VLOOKUP($B$4,'محاسبه حقوق'!$A$5:$W$205,2,FALSE),"")</x:f>
        <x:v>نمونه کارمند</x:v>
      </x:c>
    </x:row>
    <x:row r="7">
      <x:c r="A7" s="8" t="str">
        <x:v>حقوق عادی</x:v>
      </x:c>
      <x:c r="B7" s="27" t="n">
        <x:f>IFERROR(VLOOKUP($B$4,'محاسبه حقوق'!$A$5:$W$205,8,FALSE),0)</x:f>
        <x:v>200</x:v>
      </x:c>
    </x:row>
    <x:row r="8">
      <x:c r="A8" s="8" t="str">
        <x:v>اضافه‌کاری</x:v>
      </x:c>
      <x:c r="B8" s="27" t="n">
        <x:f>IFERROR(VLOOKUP($B$4,'محاسبه حقوق'!$A$5:$W$205,9,FALSE),0)</x:f>
        <x:v>0</x:v>
      </x:c>
    </x:row>
    <x:row r="9">
      <x:c r="A9" s="8" t="str">
        <x:v>مرخصی با حقوق</x:v>
      </x:c>
      <x:c r="B9" s="27" t="n">
        <x:f>IFERROR(VLOOKUP($B$4,'محاسبه حقوق'!$A$5:$W$205,10,FALSE),0)</x:f>
        <x:v>0</x:v>
      </x:c>
    </x:row>
    <x:row r="10">
      <x:c r="A10" s="8" t="str">
        <x:v>vacation pay</x:v>
      </x:c>
      <x:c r="B10" s="27" t="n">
        <x:f>IFERROR(VLOOKUP($B$4,'محاسبه حقوق'!$A$5:$W$205,11,FALSE),0)</x:f>
        <x:v>8</x:v>
      </x:c>
    </x:row>
    <x:row r="11">
      <x:c r="A11" s="8" t="str">
        <x:v>حقوق ناخالص</x:v>
      </x:c>
      <x:c r="B11" s="27" t="n">
        <x:f>IFERROR(VLOOKUP($B$4,'محاسبه حقوق'!$A$5:$W$205,12,FALSE),0)</x:f>
        <x:v>208</x:v>
      </x:c>
    </x:row>
    <x:row r="12">
      <x:c r="A12" s="8" t="str">
        <x:v>کل کسورات</x:v>
      </x:c>
      <x:c r="B12" s="27" t="n">
        <x:f>IFERROR(VLOOKUP($B$4,'محاسبه حقوق'!$A$5:$W$205,19,FALSE),0)</x:f>
        <x:v>43.01</x:v>
      </x:c>
    </x:row>
    <x:row r="13">
      <x:c r="A13" s="8" t="str">
        <x:v>خالص پرداختی</x:v>
      </x:c>
      <x:c r="B13" s="27" t="n">
        <x:f>IFERROR(VLOOKUP($B$4,'محاسبه حقوق'!$A$5:$W$205,20,FALSE),0)</x:f>
        <x:v>164.99</x:v>
      </x:c>
    </x:row>
    <x:row r="14">
      <x:c r="A14" s="8" t="str">
        <x:v>شروع دوره</x:v>
      </x:c>
      <x:c r="B14" s="28" t="n">
        <x:f>IFERROR(VLOOKUP($B$4,'محاسبه حقوق'!$A$5:$W$205,21,FALSE),"")</x:f>
        <x:v>46266</x:v>
      </x:c>
    </x:row>
    <x:row r="15">
      <x:c r="A15" s="8" t="str">
        <x:v>پایان دوره</x:v>
      </x:c>
      <x:c r="B15" s="28" t="n">
        <x:f>IFERROR(VLOOKUP($B$4,'محاسبه حقوق'!$A$5:$W$205,22,FALSE),"")</x:f>
        <x:v>46295</x:v>
      </x:c>
    </x:row>
    <x:row r="16">
      <x:c r="A16" s="8" t="str">
        <x:v>وضعیت کنترل</x:v>
      </x:c>
      <x:c r="B16" s="26" t="str">
        <x:f>IFERROR(VLOOKUP($B$4,'محاسبه حقوق'!$A$5:$W$205,23,FALSE),"")</x:f>
        <x:v>OK</x:v>
      </x:c>
    </x:row>
  </x:sheetData>
  <x:mergeCells>
    <x:mergeCell ref="A1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6" customHeight="1">
      <x:c r="A1" s="4" t="str">
        <x:v>گزارش تغییرات | ثبت دستی یا انتقال از اپ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4">
      <x:c r="A4" s="8" t="str">
        <x:v>تاریخ و ساعت</x:v>
      </x:c>
      <x:c r="B4" s="8" t="str">
        <x:v>کاربر</x:v>
      </x:c>
      <x:c r="C4" s="8" t="str">
        <x:v>عملیات</x:v>
      </x:c>
      <x:c r="D4" s="8" t="str">
        <x:v>نوع داده</x:v>
      </x:c>
      <x:c r="E4" s="8" t="str">
        <x:v>شناسه</x:v>
      </x:c>
      <x:c r="F4" s="8" t="str">
        <x:v>علت</x:v>
      </x:c>
      <x:c r="G4" s="8" t="str">
        <x:v>یادداشت</x:v>
      </x:c>
    </x:row>
    <x:row r="5">
      <x:c r="A5" s="29" t="n">
        <x:v>46277.62466666667</x:v>
      </x:c>
      <x:c r="B5" s="13" t="str">
        <x:v>مدیر سیستم</x:v>
      </x:c>
      <x:c r="C5" s="13" t="str">
        <x:v>CREATE</x:v>
      </x:c>
      <x:c r="D5" s="13" t="str">
        <x:v>Payroll</x:v>
      </x:c>
      <x:c r="E5" s="13" t="str">
        <x:v>2026-09</x:v>
      </x:c>
      <x:c r="F5" s="13" t="str">
        <x:v>نمونه</x:v>
      </x:c>
      <x:c r="G5" s="13" t="str">
        <x:v>ردیف نمونه برای ردگیری</x:v>
      </x:c>
    </x:row>
    <x:row r="6">
      <x:c r="A6" s="29"/>
      <x:c r="B6" s="13"/>
      <x:c r="C6" s="13"/>
      <x:c r="D6" s="13"/>
      <x:c r="E6" s="13"/>
      <x:c r="F6" s="13"/>
      <x:c r="G6" s="13"/>
    </x:row>
    <x:row r="7">
      <x:c r="A7" s="29"/>
      <x:c r="B7" s="13"/>
      <x:c r="C7" s="13"/>
      <x:c r="D7" s="13"/>
      <x:c r="E7" s="13"/>
      <x:c r="F7" s="13"/>
      <x:c r="G7" s="13"/>
    </x:row>
    <x:row r="8">
      <x:c r="A8" s="29"/>
      <x:c r="B8" s="13"/>
      <x:c r="C8" s="13"/>
      <x:c r="D8" s="13"/>
      <x:c r="E8" s="13"/>
      <x:c r="F8" s="13"/>
      <x:c r="G8" s="13"/>
    </x:row>
    <x:row r="9">
      <x:c r="A9" s="29"/>
      <x:c r="B9" s="13"/>
      <x:c r="C9" s="13"/>
      <x:c r="D9" s="13"/>
      <x:c r="E9" s="13"/>
      <x:c r="F9" s="13"/>
      <x:c r="G9" s="13"/>
    </x:row>
    <x:row r="10">
      <x:c r="A10" s="29"/>
      <x:c r="B10" s="13"/>
      <x:c r="C10" s="13"/>
      <x:c r="D10" s="13"/>
      <x:c r="E10" s="13"/>
      <x:c r="F10" s="13"/>
      <x:c r="G10" s="13"/>
    </x:row>
    <x:row r="11">
      <x:c r="A11" s="29"/>
      <x:c r="B11" s="13"/>
      <x:c r="C11" s="13"/>
      <x:c r="D11" s="13"/>
      <x:c r="E11" s="13"/>
      <x:c r="F11" s="13"/>
      <x:c r="G11" s="13"/>
    </x:row>
    <x:row r="12">
      <x:c r="A12" s="29"/>
      <x:c r="B12" s="13"/>
      <x:c r="C12" s="13"/>
      <x:c r="D12" s="13"/>
      <x:c r="E12" s="13"/>
      <x:c r="F12" s="13"/>
      <x:c r="G12" s="13"/>
    </x:row>
    <x:row r="13">
      <x:c r="A13" s="29"/>
      <x:c r="B13" s="13"/>
      <x:c r="C13" s="13"/>
      <x:c r="D13" s="13"/>
      <x:c r="E13" s="13"/>
      <x:c r="F13" s="13"/>
      <x:c r="G13" s="13"/>
    </x:row>
    <x:row r="14">
      <x:c r="A14" s="29"/>
      <x:c r="B14" s="13"/>
      <x:c r="C14" s="13"/>
      <x:c r="D14" s="13"/>
      <x:c r="E14" s="13"/>
      <x:c r="F14" s="13"/>
      <x:c r="G14" s="13"/>
    </x:row>
    <x:row r="15">
      <x:c r="A15" s="29"/>
      <x:c r="B15" s="13"/>
      <x:c r="C15" s="13"/>
      <x:c r="D15" s="13"/>
      <x:c r="E15" s="13"/>
      <x:c r="F15" s="13"/>
      <x:c r="G15" s="13"/>
    </x:row>
    <x:row r="16">
      <x:c r="A16" s="29"/>
      <x:c r="B16" s="13"/>
      <x:c r="C16" s="13"/>
      <x:c r="D16" s="13"/>
      <x:c r="E16" s="13"/>
      <x:c r="F16" s="13"/>
      <x:c r="G16" s="13"/>
    </x:row>
    <x:row r="17">
      <x:c r="A17" s="29"/>
      <x:c r="B17" s="13"/>
      <x:c r="C17" s="13"/>
      <x:c r="D17" s="13"/>
      <x:c r="E17" s="13"/>
      <x:c r="F17" s="13"/>
      <x:c r="G17" s="13"/>
    </x:row>
    <x:row r="18">
      <x:c r="A18" s="29"/>
      <x:c r="B18" s="13"/>
      <x:c r="C18" s="13"/>
      <x:c r="D18" s="13"/>
      <x:c r="E18" s="13"/>
      <x:c r="F18" s="13"/>
      <x:c r="G18" s="13"/>
    </x:row>
    <x:row r="19">
      <x:c r="A19" s="29"/>
      <x:c r="B19" s="13"/>
      <x:c r="C19" s="13"/>
      <x:c r="D19" s="13"/>
      <x:c r="E19" s="13"/>
      <x:c r="F19" s="13"/>
      <x:c r="G19" s="13"/>
    </x:row>
    <x:row r="20">
      <x:c r="A20" s="29"/>
      <x:c r="B20" s="13"/>
      <x:c r="C20" s="13"/>
      <x:c r="D20" s="13"/>
      <x:c r="E20" s="13"/>
      <x:c r="F20" s="13"/>
      <x:c r="G20" s="13"/>
    </x:row>
    <x:row r="21">
      <x:c r="A21" s="29"/>
      <x:c r="B21" s="13"/>
      <x:c r="C21" s="13"/>
      <x:c r="D21" s="13"/>
      <x:c r="E21" s="13"/>
      <x:c r="F21" s="13"/>
      <x:c r="G21" s="13"/>
    </x:row>
    <x:row r="22">
      <x:c r="A22" s="29"/>
      <x:c r="B22" s="13"/>
      <x:c r="C22" s="13"/>
      <x:c r="D22" s="13"/>
      <x:c r="E22" s="13"/>
      <x:c r="F22" s="13"/>
      <x:c r="G22" s="13"/>
    </x:row>
    <x:row r="23">
      <x:c r="A23" s="29"/>
      <x:c r="B23" s="13"/>
      <x:c r="C23" s="13"/>
      <x:c r="D23" s="13"/>
      <x:c r="E23" s="13"/>
      <x:c r="F23" s="13"/>
      <x:c r="G23" s="13"/>
    </x:row>
    <x:row r="24">
      <x:c r="A24" s="29"/>
      <x:c r="B24" s="13"/>
      <x:c r="C24" s="13"/>
      <x:c r="D24" s="13"/>
      <x:c r="E24" s="13"/>
      <x:c r="F24" s="13"/>
      <x:c r="G24" s="13"/>
    </x:row>
    <x:row r="25">
      <x:c r="A25" s="29"/>
      <x:c r="B25" s="13"/>
      <x:c r="C25" s="13"/>
      <x:c r="D25" s="13"/>
      <x:c r="E25" s="13"/>
      <x:c r="F25" s="13"/>
      <x:c r="G25" s="13"/>
    </x:row>
    <x:row r="26">
      <x:c r="A26" s="29"/>
      <x:c r="B26" s="13"/>
      <x:c r="C26" s="13"/>
      <x:c r="D26" s="13"/>
      <x:c r="E26" s="13"/>
      <x:c r="F26" s="13"/>
      <x:c r="G26" s="13"/>
    </x:row>
    <x:row r="27">
      <x:c r="A27" s="29"/>
      <x:c r="B27" s="13"/>
      <x:c r="C27" s="13"/>
      <x:c r="D27" s="13"/>
      <x:c r="E27" s="13"/>
      <x:c r="F27" s="13"/>
      <x:c r="G27" s="13"/>
    </x:row>
    <x:row r="28">
      <x:c r="A28" s="29"/>
      <x:c r="B28" s="13"/>
      <x:c r="C28" s="13"/>
      <x:c r="D28" s="13"/>
      <x:c r="E28" s="13"/>
      <x:c r="F28" s="13"/>
      <x:c r="G28" s="13"/>
    </x:row>
    <x:row r="29">
      <x:c r="A29" s="29"/>
      <x:c r="B29" s="13"/>
      <x:c r="C29" s="13"/>
      <x:c r="D29" s="13"/>
      <x:c r="E29" s="13"/>
      <x:c r="F29" s="13"/>
      <x:c r="G29" s="13"/>
    </x:row>
    <x:row r="30">
      <x:c r="A30" s="29"/>
      <x:c r="B30" s="13"/>
      <x:c r="C30" s="13"/>
      <x:c r="D30" s="13"/>
      <x:c r="E30" s="13"/>
      <x:c r="F30" s="13"/>
      <x:c r="G30" s="13"/>
    </x:row>
    <x:row r="31">
      <x:c r="A31" s="29"/>
      <x:c r="B31" s="13"/>
      <x:c r="C31" s="13"/>
      <x:c r="D31" s="13"/>
      <x:c r="E31" s="13"/>
      <x:c r="F31" s="13"/>
      <x:c r="G31" s="13"/>
    </x:row>
    <x:row r="32">
      <x:c r="A32" s="29"/>
      <x:c r="B32" s="13"/>
      <x:c r="C32" s="13"/>
      <x:c r="D32" s="13"/>
      <x:c r="E32" s="13"/>
      <x:c r="F32" s="13"/>
      <x:c r="G32" s="13"/>
    </x:row>
    <x:row r="33">
      <x:c r="A33" s="29"/>
      <x:c r="B33" s="13"/>
      <x:c r="C33" s="13"/>
      <x:c r="D33" s="13"/>
      <x:c r="E33" s="13"/>
      <x:c r="F33" s="13"/>
      <x:c r="G33" s="13"/>
    </x:row>
    <x:row r="34">
      <x:c r="A34" s="29"/>
      <x:c r="B34" s="13"/>
      <x:c r="C34" s="13"/>
      <x:c r="D34" s="13"/>
      <x:c r="E34" s="13"/>
      <x:c r="F34" s="13"/>
      <x:c r="G34" s="13"/>
    </x:row>
    <x:row r="35">
      <x:c r="A35" s="29"/>
      <x:c r="B35" s="13"/>
      <x:c r="C35" s="13"/>
      <x:c r="D35" s="13"/>
      <x:c r="E35" s="13"/>
      <x:c r="F35" s="13"/>
      <x:c r="G35" s="13"/>
    </x:row>
    <x:row r="36">
      <x:c r="A36" s="29"/>
      <x:c r="B36" s="13"/>
      <x:c r="C36" s="13"/>
      <x:c r="D36" s="13"/>
      <x:c r="E36" s="13"/>
      <x:c r="F36" s="13"/>
      <x:c r="G36" s="13"/>
    </x:row>
    <x:row r="37">
      <x:c r="A37" s="29"/>
      <x:c r="B37" s="13"/>
      <x:c r="C37" s="13"/>
      <x:c r="D37" s="13"/>
      <x:c r="E37" s="13"/>
      <x:c r="F37" s="13"/>
      <x:c r="G37" s="13"/>
    </x:row>
    <x:row r="38">
      <x:c r="A38" s="29"/>
      <x:c r="B38" s="13"/>
      <x:c r="C38" s="13"/>
      <x:c r="D38" s="13"/>
      <x:c r="E38" s="13"/>
      <x:c r="F38" s="13"/>
      <x:c r="G38" s="13"/>
    </x:row>
    <x:row r="39">
      <x:c r="A39" s="29"/>
      <x:c r="B39" s="13"/>
      <x:c r="C39" s="13"/>
      <x:c r="D39" s="13"/>
      <x:c r="E39" s="13"/>
      <x:c r="F39" s="13"/>
      <x:c r="G39" s="13"/>
    </x:row>
    <x:row r="40">
      <x:c r="A40" s="29"/>
      <x:c r="B40" s="13"/>
      <x:c r="C40" s="13"/>
      <x:c r="D40" s="13"/>
      <x:c r="E40" s="13"/>
      <x:c r="F40" s="13"/>
      <x:c r="G40" s="13"/>
    </x:row>
    <x:row r="41">
      <x:c r="A41" s="29"/>
      <x:c r="B41" s="13"/>
      <x:c r="C41" s="13"/>
      <x:c r="D41" s="13"/>
      <x:c r="E41" s="13"/>
      <x:c r="F41" s="13"/>
      <x:c r="G41" s="13"/>
    </x:row>
    <x:row r="42">
      <x:c r="A42" s="29"/>
      <x:c r="B42" s="13"/>
      <x:c r="C42" s="13"/>
      <x:c r="D42" s="13"/>
      <x:c r="E42" s="13"/>
      <x:c r="F42" s="13"/>
      <x:c r="G42" s="13"/>
    </x:row>
    <x:row r="43">
      <x:c r="A43" s="29"/>
      <x:c r="B43" s="13"/>
      <x:c r="C43" s="13"/>
      <x:c r="D43" s="13"/>
      <x:c r="E43" s="13"/>
      <x:c r="F43" s="13"/>
      <x:c r="G43" s="13"/>
    </x:row>
    <x:row r="44">
      <x:c r="A44" s="29"/>
      <x:c r="B44" s="13"/>
      <x:c r="C44" s="13"/>
      <x:c r="D44" s="13"/>
      <x:c r="E44" s="13"/>
      <x:c r="F44" s="13"/>
      <x:c r="G44" s="13"/>
    </x:row>
    <x:row r="45">
      <x:c r="A45" s="29"/>
      <x:c r="B45" s="13"/>
      <x:c r="C45" s="13"/>
      <x:c r="D45" s="13"/>
      <x:c r="E45" s="13"/>
      <x:c r="F45" s="13"/>
      <x:c r="G45" s="13"/>
    </x:row>
    <x:row r="46">
      <x:c r="A46" s="29"/>
      <x:c r="B46" s="13"/>
      <x:c r="C46" s="13"/>
      <x:c r="D46" s="13"/>
      <x:c r="E46" s="13"/>
      <x:c r="F46" s="13"/>
      <x:c r="G46" s="13"/>
    </x:row>
    <x:row r="47">
      <x:c r="A47" s="29"/>
      <x:c r="B47" s="13"/>
      <x:c r="C47" s="13"/>
      <x:c r="D47" s="13"/>
      <x:c r="E47" s="13"/>
      <x:c r="F47" s="13"/>
      <x:c r="G47" s="13"/>
    </x:row>
    <x:row r="48">
      <x:c r="A48" s="29"/>
      <x:c r="B48" s="13"/>
      <x:c r="C48" s="13"/>
      <x:c r="D48" s="13"/>
      <x:c r="E48" s="13"/>
      <x:c r="F48" s="13"/>
      <x:c r="G48" s="13"/>
    </x:row>
    <x:row r="49">
      <x:c r="A49" s="29"/>
      <x:c r="B49" s="13"/>
      <x:c r="C49" s="13"/>
      <x:c r="D49" s="13"/>
      <x:c r="E49" s="13"/>
      <x:c r="F49" s="13"/>
      <x:c r="G49" s="13"/>
    </x:row>
    <x:row r="50">
      <x:c r="A50" s="29"/>
      <x:c r="B50" s="13"/>
      <x:c r="C50" s="13"/>
      <x:c r="D50" s="13"/>
      <x:c r="E50" s="13"/>
      <x:c r="F50" s="13"/>
      <x:c r="G50" s="13"/>
    </x:row>
    <x:row r="51">
      <x:c r="A51" s="29"/>
      <x:c r="B51" s="13"/>
      <x:c r="C51" s="13"/>
      <x:c r="D51" s="13"/>
      <x:c r="E51" s="13"/>
      <x:c r="F51" s="13"/>
      <x:c r="G51" s="13"/>
    </x:row>
    <x:row r="52">
      <x:c r="A52" s="29"/>
      <x:c r="B52" s="13"/>
      <x:c r="C52" s="13"/>
      <x:c r="D52" s="13"/>
      <x:c r="E52" s="13"/>
      <x:c r="F52" s="13"/>
      <x:c r="G52" s="13"/>
    </x:row>
    <x:row r="53">
      <x:c r="A53" s="29"/>
      <x:c r="B53" s="13"/>
      <x:c r="C53" s="13"/>
      <x:c r="D53" s="13"/>
      <x:c r="E53" s="13"/>
      <x:c r="F53" s="13"/>
      <x:c r="G53" s="13"/>
    </x:row>
    <x:row r="54">
      <x:c r="A54" s="29"/>
      <x:c r="B54" s="13"/>
      <x:c r="C54" s="13"/>
      <x:c r="D54" s="13"/>
      <x:c r="E54" s="13"/>
      <x:c r="F54" s="13"/>
      <x:c r="G54" s="13"/>
    </x:row>
    <x:row r="55">
      <x:c r="A55" s="29"/>
      <x:c r="B55" s="13"/>
      <x:c r="C55" s="13"/>
      <x:c r="D55" s="13"/>
      <x:c r="E55" s="13"/>
      <x:c r="F55" s="13"/>
      <x:c r="G55" s="13"/>
    </x:row>
    <x:row r="56">
      <x:c r="A56" s="29"/>
      <x:c r="B56" s="13"/>
      <x:c r="C56" s="13"/>
      <x:c r="D56" s="13"/>
      <x:c r="E56" s="13"/>
      <x:c r="F56" s="13"/>
      <x:c r="G56" s="13"/>
    </x:row>
    <x:row r="57">
      <x:c r="A57" s="29"/>
      <x:c r="B57" s="13"/>
      <x:c r="C57" s="13"/>
      <x:c r="D57" s="13"/>
      <x:c r="E57" s="13"/>
      <x:c r="F57" s="13"/>
      <x:c r="G57" s="13"/>
    </x:row>
    <x:row r="58">
      <x:c r="A58" s="29"/>
      <x:c r="B58" s="13"/>
      <x:c r="C58" s="13"/>
      <x:c r="D58" s="13"/>
      <x:c r="E58" s="13"/>
      <x:c r="F58" s="13"/>
      <x:c r="G58" s="13"/>
    </x:row>
    <x:row r="59">
      <x:c r="A59" s="29"/>
      <x:c r="B59" s="13"/>
      <x:c r="C59" s="13"/>
      <x:c r="D59" s="13"/>
      <x:c r="E59" s="13"/>
      <x:c r="F59" s="13"/>
      <x:c r="G59" s="13"/>
    </x:row>
    <x:row r="60">
      <x:c r="A60" s="29"/>
      <x:c r="B60" s="13"/>
      <x:c r="C60" s="13"/>
      <x:c r="D60" s="13"/>
      <x:c r="E60" s="13"/>
      <x:c r="F60" s="13"/>
      <x:c r="G60" s="13"/>
    </x:row>
    <x:row r="61">
      <x:c r="A61" s="29"/>
      <x:c r="B61" s="13"/>
      <x:c r="C61" s="13"/>
      <x:c r="D61" s="13"/>
      <x:c r="E61" s="13"/>
      <x:c r="F61" s="13"/>
      <x:c r="G61" s="13"/>
    </x:row>
    <x:row r="62">
      <x:c r="A62" s="29"/>
      <x:c r="B62" s="13"/>
      <x:c r="C62" s="13"/>
      <x:c r="D62" s="13"/>
      <x:c r="E62" s="13"/>
      <x:c r="F62" s="13"/>
      <x:c r="G62" s="13"/>
    </x:row>
    <x:row r="63">
      <x:c r="A63" s="29"/>
      <x:c r="B63" s="13"/>
      <x:c r="C63" s="13"/>
      <x:c r="D63" s="13"/>
      <x:c r="E63" s="13"/>
      <x:c r="F63" s="13"/>
      <x:c r="G63" s="13"/>
    </x:row>
    <x:row r="64">
      <x:c r="A64" s="29"/>
      <x:c r="B64" s="13"/>
      <x:c r="C64" s="13"/>
      <x:c r="D64" s="13"/>
      <x:c r="E64" s="13"/>
      <x:c r="F64" s="13"/>
      <x:c r="G64" s="13"/>
    </x:row>
    <x:row r="65">
      <x:c r="A65" s="29"/>
      <x:c r="B65" s="13"/>
      <x:c r="C65" s="13"/>
      <x:c r="D65" s="13"/>
      <x:c r="E65" s="13"/>
      <x:c r="F65" s="13"/>
      <x:c r="G65" s="13"/>
    </x:row>
    <x:row r="66">
      <x:c r="A66" s="29"/>
      <x:c r="B66" s="13"/>
      <x:c r="C66" s="13"/>
      <x:c r="D66" s="13"/>
      <x:c r="E66" s="13"/>
      <x:c r="F66" s="13"/>
      <x:c r="G66" s="13"/>
    </x:row>
    <x:row r="67">
      <x:c r="A67" s="29"/>
      <x:c r="B67" s="13"/>
      <x:c r="C67" s="13"/>
      <x:c r="D67" s="13"/>
      <x:c r="E67" s="13"/>
      <x:c r="F67" s="13"/>
      <x:c r="G67" s="13"/>
    </x:row>
    <x:row r="68">
      <x:c r="A68" s="29"/>
      <x:c r="B68" s="13"/>
      <x:c r="C68" s="13"/>
      <x:c r="D68" s="13"/>
      <x:c r="E68" s="13"/>
      <x:c r="F68" s="13"/>
      <x:c r="G68" s="13"/>
    </x:row>
    <x:row r="69">
      <x:c r="A69" s="29"/>
      <x:c r="B69" s="13"/>
      <x:c r="C69" s="13"/>
      <x:c r="D69" s="13"/>
      <x:c r="E69" s="13"/>
      <x:c r="F69" s="13"/>
      <x:c r="G69" s="13"/>
    </x:row>
    <x:row r="70">
      <x:c r="A70" s="29"/>
      <x:c r="B70" s="13"/>
      <x:c r="C70" s="13"/>
      <x:c r="D70" s="13"/>
      <x:c r="E70" s="13"/>
      <x:c r="F70" s="13"/>
      <x:c r="G70" s="13"/>
    </x:row>
    <x:row r="71">
      <x:c r="A71" s="29"/>
      <x:c r="B71" s="13"/>
      <x:c r="C71" s="13"/>
      <x:c r="D71" s="13"/>
      <x:c r="E71" s="13"/>
      <x:c r="F71" s="13"/>
      <x:c r="G71" s="13"/>
    </x:row>
    <x:row r="72">
      <x:c r="A72" s="29"/>
      <x:c r="B72" s="13"/>
      <x:c r="C72" s="13"/>
      <x:c r="D72" s="13"/>
      <x:c r="E72" s="13"/>
      <x:c r="F72" s="13"/>
      <x:c r="G72" s="13"/>
    </x:row>
    <x:row r="73">
      <x:c r="A73" s="29"/>
      <x:c r="B73" s="13"/>
      <x:c r="C73" s="13"/>
      <x:c r="D73" s="13"/>
      <x:c r="E73" s="13"/>
      <x:c r="F73" s="13"/>
      <x:c r="G73" s="13"/>
    </x:row>
    <x:row r="74">
      <x:c r="A74" s="29"/>
      <x:c r="B74" s="13"/>
      <x:c r="C74" s="13"/>
      <x:c r="D74" s="13"/>
      <x:c r="E74" s="13"/>
      <x:c r="F74" s="13"/>
      <x:c r="G74" s="13"/>
    </x:row>
    <x:row r="75">
      <x:c r="A75" s="29"/>
      <x:c r="B75" s="13"/>
      <x:c r="C75" s="13"/>
      <x:c r="D75" s="13"/>
      <x:c r="E75" s="13"/>
      <x:c r="F75" s="13"/>
      <x:c r="G75" s="13"/>
    </x:row>
    <x:row r="76">
      <x:c r="A76" s="29"/>
      <x:c r="B76" s="13"/>
      <x:c r="C76" s="13"/>
      <x:c r="D76" s="13"/>
      <x:c r="E76" s="13"/>
      <x:c r="F76" s="13"/>
      <x:c r="G76" s="13"/>
    </x:row>
    <x:row r="77">
      <x:c r="A77" s="29"/>
      <x:c r="B77" s="13"/>
      <x:c r="C77" s="13"/>
      <x:c r="D77" s="13"/>
      <x:c r="E77" s="13"/>
      <x:c r="F77" s="13"/>
      <x:c r="G77" s="13"/>
    </x:row>
    <x:row r="78">
      <x:c r="A78" s="29"/>
      <x:c r="B78" s="13"/>
      <x:c r="C78" s="13"/>
      <x:c r="D78" s="13"/>
      <x:c r="E78" s="13"/>
      <x:c r="F78" s="13"/>
      <x:c r="G78" s="13"/>
    </x:row>
    <x:row r="79">
      <x:c r="A79" s="29"/>
      <x:c r="B79" s="13"/>
      <x:c r="C79" s="13"/>
      <x:c r="D79" s="13"/>
      <x:c r="E79" s="13"/>
      <x:c r="F79" s="13"/>
      <x:c r="G79" s="13"/>
    </x:row>
    <x:row r="80">
      <x:c r="A80" s="29"/>
      <x:c r="B80" s="13"/>
      <x:c r="C80" s="13"/>
      <x:c r="D80" s="13"/>
      <x:c r="E80" s="13"/>
      <x:c r="F80" s="13"/>
      <x:c r="G80" s="13"/>
    </x:row>
    <x:row r="81">
      <x:c r="A81" s="29"/>
      <x:c r="B81" s="13"/>
      <x:c r="C81" s="13"/>
      <x:c r="D81" s="13"/>
      <x:c r="E81" s="13"/>
      <x:c r="F81" s="13"/>
      <x:c r="G81" s="13"/>
    </x:row>
    <x:row r="82">
      <x:c r="A82" s="29"/>
      <x:c r="B82" s="13"/>
      <x:c r="C82" s="13"/>
      <x:c r="D82" s="13"/>
      <x:c r="E82" s="13"/>
      <x:c r="F82" s="13"/>
      <x:c r="G82" s="13"/>
    </x:row>
    <x:row r="83">
      <x:c r="A83" s="29"/>
      <x:c r="B83" s="13"/>
      <x:c r="C83" s="13"/>
      <x:c r="D83" s="13"/>
      <x:c r="E83" s="13"/>
      <x:c r="F83" s="13"/>
      <x:c r="G83" s="13"/>
    </x:row>
    <x:row r="84">
      <x:c r="A84" s="29"/>
      <x:c r="B84" s="13"/>
      <x:c r="C84" s="13"/>
      <x:c r="D84" s="13"/>
      <x:c r="E84" s="13"/>
      <x:c r="F84" s="13"/>
      <x:c r="G84" s="13"/>
    </x:row>
    <x:row r="85">
      <x:c r="A85" s="29"/>
      <x:c r="B85" s="13"/>
      <x:c r="C85" s="13"/>
      <x:c r="D85" s="13"/>
      <x:c r="E85" s="13"/>
      <x:c r="F85" s="13"/>
      <x:c r="G85" s="13"/>
    </x:row>
    <x:row r="86">
      <x:c r="A86" s="29"/>
      <x:c r="B86" s="13"/>
      <x:c r="C86" s="13"/>
      <x:c r="D86" s="13"/>
      <x:c r="E86" s="13"/>
      <x:c r="F86" s="13"/>
      <x:c r="G86" s="13"/>
    </x:row>
    <x:row r="87">
      <x:c r="A87" s="29"/>
      <x:c r="B87" s="13"/>
      <x:c r="C87" s="13"/>
      <x:c r="D87" s="13"/>
      <x:c r="E87" s="13"/>
      <x:c r="F87" s="13"/>
      <x:c r="G87" s="13"/>
    </x:row>
    <x:row r="88">
      <x:c r="A88" s="29"/>
      <x:c r="B88" s="13"/>
      <x:c r="C88" s="13"/>
      <x:c r="D88" s="13"/>
      <x:c r="E88" s="13"/>
      <x:c r="F88" s="13"/>
      <x:c r="G88" s="13"/>
    </x:row>
    <x:row r="89">
      <x:c r="A89" s="29"/>
      <x:c r="B89" s="13"/>
      <x:c r="C89" s="13"/>
      <x:c r="D89" s="13"/>
      <x:c r="E89" s="13"/>
      <x:c r="F89" s="13"/>
      <x:c r="G89" s="13"/>
    </x:row>
    <x:row r="90">
      <x:c r="A90" s="29"/>
      <x:c r="B90" s="13"/>
      <x:c r="C90" s="13"/>
      <x:c r="D90" s="13"/>
      <x:c r="E90" s="13"/>
      <x:c r="F90" s="13"/>
      <x:c r="G90" s="13"/>
    </x:row>
    <x:row r="91">
      <x:c r="A91" s="29"/>
      <x:c r="B91" s="13"/>
      <x:c r="C91" s="13"/>
      <x:c r="D91" s="13"/>
      <x:c r="E91" s="13"/>
      <x:c r="F91" s="13"/>
      <x:c r="G91" s="13"/>
    </x:row>
    <x:row r="92">
      <x:c r="A92" s="29"/>
      <x:c r="B92" s="13"/>
      <x:c r="C92" s="13"/>
      <x:c r="D92" s="13"/>
      <x:c r="E92" s="13"/>
      <x:c r="F92" s="13"/>
      <x:c r="G92" s="13"/>
    </x:row>
    <x:row r="93">
      <x:c r="A93" s="29"/>
      <x:c r="B93" s="13"/>
      <x:c r="C93" s="13"/>
      <x:c r="D93" s="13"/>
      <x:c r="E93" s="13"/>
      <x:c r="F93" s="13"/>
      <x:c r="G93" s="13"/>
    </x:row>
    <x:row r="94">
      <x:c r="A94" s="29"/>
      <x:c r="B94" s="13"/>
      <x:c r="C94" s="13"/>
      <x:c r="D94" s="13"/>
      <x:c r="E94" s="13"/>
      <x:c r="F94" s="13"/>
      <x:c r="G94" s="13"/>
    </x:row>
    <x:row r="95">
      <x:c r="A95" s="29"/>
      <x:c r="B95" s="13"/>
      <x:c r="C95" s="13"/>
      <x:c r="D95" s="13"/>
      <x:c r="E95" s="13"/>
      <x:c r="F95" s="13"/>
      <x:c r="G95" s="13"/>
    </x:row>
    <x:row r="96">
      <x:c r="A96" s="29"/>
      <x:c r="B96" s="13"/>
      <x:c r="C96" s="13"/>
      <x:c r="D96" s="13"/>
      <x:c r="E96" s="13"/>
      <x:c r="F96" s="13"/>
      <x:c r="G96" s="13"/>
    </x:row>
    <x:row r="97">
      <x:c r="A97" s="29"/>
      <x:c r="B97" s="13"/>
      <x:c r="C97" s="13"/>
      <x:c r="D97" s="13"/>
      <x:c r="E97" s="13"/>
      <x:c r="F97" s="13"/>
      <x:c r="G97" s="13"/>
    </x:row>
    <x:row r="98">
      <x:c r="A98" s="29"/>
      <x:c r="B98" s="13"/>
      <x:c r="C98" s="13"/>
      <x:c r="D98" s="13"/>
      <x:c r="E98" s="13"/>
      <x:c r="F98" s="13"/>
      <x:c r="G98" s="13"/>
    </x:row>
    <x:row r="99">
      <x:c r="A99" s="29"/>
      <x:c r="B99" s="13"/>
      <x:c r="C99" s="13"/>
      <x:c r="D99" s="13"/>
      <x:c r="E99" s="13"/>
      <x:c r="F99" s="13"/>
      <x:c r="G99" s="13"/>
    </x:row>
    <x:row r="100">
      <x:c r="A100" s="29"/>
      <x:c r="B100" s="13"/>
      <x:c r="C100" s="13"/>
      <x:c r="D100" s="13"/>
      <x:c r="E100" s="13"/>
      <x:c r="F100" s="13"/>
      <x:c r="G100" s="13"/>
    </x:row>
    <x:row r="101">
      <x:c r="A101" s="29"/>
      <x:c r="B101" s="13"/>
      <x:c r="C101" s="13"/>
      <x:c r="D101" s="13"/>
      <x:c r="E101" s="13"/>
      <x:c r="F101" s="13"/>
      <x:c r="G101" s="13"/>
    </x:row>
    <x:row r="102">
      <x:c r="A102" s="29"/>
      <x:c r="B102" s="13"/>
      <x:c r="C102" s="13"/>
      <x:c r="D102" s="13"/>
      <x:c r="E102" s="13"/>
      <x:c r="F102" s="13"/>
      <x:c r="G102" s="13"/>
    </x:row>
    <x:row r="103">
      <x:c r="A103" s="29"/>
      <x:c r="B103" s="13"/>
      <x:c r="C103" s="13"/>
      <x:c r="D103" s="13"/>
      <x:c r="E103" s="13"/>
      <x:c r="F103" s="13"/>
      <x:c r="G103" s="13"/>
    </x:row>
    <x:row r="104">
      <x:c r="A104" s="29"/>
      <x:c r="B104" s="13"/>
      <x:c r="C104" s="13"/>
      <x:c r="D104" s="13"/>
      <x:c r="E104" s="13"/>
      <x:c r="F104" s="13"/>
      <x:c r="G104" s="13"/>
    </x:row>
    <x:row r="105">
      <x:c r="A105" s="29"/>
      <x:c r="B105" s="13"/>
      <x:c r="C105" s="13"/>
      <x:c r="D105" s="13"/>
      <x:c r="E105" s="13"/>
      <x:c r="F105" s="13"/>
      <x:c r="G105" s="13"/>
    </x:row>
    <x:row r="106">
      <x:c r="A106" s="29"/>
      <x:c r="B106" s="13"/>
      <x:c r="C106" s="13"/>
      <x:c r="D106" s="13"/>
      <x:c r="E106" s="13"/>
      <x:c r="F106" s="13"/>
      <x:c r="G106" s="13"/>
    </x:row>
    <x:row r="107">
      <x:c r="A107" s="29"/>
      <x:c r="B107" s="13"/>
      <x:c r="C107" s="13"/>
      <x:c r="D107" s="13"/>
      <x:c r="E107" s="13"/>
      <x:c r="F107" s="13"/>
      <x:c r="G107" s="13"/>
    </x:row>
    <x:row r="108">
      <x:c r="A108" s="29"/>
      <x:c r="B108" s="13"/>
      <x:c r="C108" s="13"/>
      <x:c r="D108" s="13"/>
      <x:c r="E108" s="13"/>
      <x:c r="F108" s="13"/>
      <x:c r="G108" s="13"/>
    </x:row>
    <x:row r="109">
      <x:c r="A109" s="29"/>
      <x:c r="B109" s="13"/>
      <x:c r="C109" s="13"/>
      <x:c r="D109" s="13"/>
      <x:c r="E109" s="13"/>
      <x:c r="F109" s="13"/>
      <x:c r="G109" s="13"/>
    </x:row>
    <x:row r="110">
      <x:c r="A110" s="29"/>
      <x:c r="B110" s="13"/>
      <x:c r="C110" s="13"/>
      <x:c r="D110" s="13"/>
      <x:c r="E110" s="13"/>
      <x:c r="F110" s="13"/>
      <x:c r="G110" s="13"/>
    </x:row>
    <x:row r="111">
      <x:c r="A111" s="29"/>
      <x:c r="B111" s="13"/>
      <x:c r="C111" s="13"/>
      <x:c r="D111" s="13"/>
      <x:c r="E111" s="13"/>
      <x:c r="F111" s="13"/>
      <x:c r="G111" s="13"/>
    </x:row>
    <x:row r="112">
      <x:c r="A112" s="29"/>
      <x:c r="B112" s="13"/>
      <x:c r="C112" s="13"/>
      <x:c r="D112" s="13"/>
      <x:c r="E112" s="13"/>
      <x:c r="F112" s="13"/>
      <x:c r="G112" s="13"/>
    </x:row>
    <x:row r="113">
      <x:c r="A113" s="29"/>
      <x:c r="B113" s="13"/>
      <x:c r="C113" s="13"/>
      <x:c r="D113" s="13"/>
      <x:c r="E113" s="13"/>
      <x:c r="F113" s="13"/>
      <x:c r="G113" s="13"/>
    </x:row>
    <x:row r="114">
      <x:c r="A114" s="29"/>
      <x:c r="B114" s="13"/>
      <x:c r="C114" s="13"/>
      <x:c r="D114" s="13"/>
      <x:c r="E114" s="13"/>
      <x:c r="F114" s="13"/>
      <x:c r="G114" s="13"/>
    </x:row>
    <x:row r="115">
      <x:c r="A115" s="29"/>
      <x:c r="B115" s="13"/>
      <x:c r="C115" s="13"/>
      <x:c r="D115" s="13"/>
      <x:c r="E115" s="13"/>
      <x:c r="F115" s="13"/>
      <x:c r="G115" s="13"/>
    </x:row>
    <x:row r="116">
      <x:c r="A116" s="29"/>
      <x:c r="B116" s="13"/>
      <x:c r="C116" s="13"/>
      <x:c r="D116" s="13"/>
      <x:c r="E116" s="13"/>
      <x:c r="F116" s="13"/>
      <x:c r="G116" s="13"/>
    </x:row>
    <x:row r="117">
      <x:c r="A117" s="29"/>
      <x:c r="B117" s="13"/>
      <x:c r="C117" s="13"/>
      <x:c r="D117" s="13"/>
      <x:c r="E117" s="13"/>
      <x:c r="F117" s="13"/>
      <x:c r="G117" s="13"/>
    </x:row>
    <x:row r="118">
      <x:c r="A118" s="29"/>
      <x:c r="B118" s="13"/>
      <x:c r="C118" s="13"/>
      <x:c r="D118" s="13"/>
      <x:c r="E118" s="13"/>
      <x:c r="F118" s="13"/>
      <x:c r="G118" s="13"/>
    </x:row>
    <x:row r="119">
      <x:c r="A119" s="29"/>
      <x:c r="B119" s="13"/>
      <x:c r="C119" s="13"/>
      <x:c r="D119" s="13"/>
      <x:c r="E119" s="13"/>
      <x:c r="F119" s="13"/>
      <x:c r="G119" s="13"/>
    </x:row>
    <x:row r="120">
      <x:c r="A120" s="29"/>
      <x:c r="B120" s="13"/>
      <x:c r="C120" s="13"/>
      <x:c r="D120" s="13"/>
      <x:c r="E120" s="13"/>
      <x:c r="F120" s="13"/>
      <x:c r="G120" s="13"/>
    </x:row>
    <x:row r="121">
      <x:c r="A121" s="29"/>
      <x:c r="B121" s="13"/>
      <x:c r="C121" s="13"/>
      <x:c r="D121" s="13"/>
      <x:c r="E121" s="13"/>
      <x:c r="F121" s="13"/>
      <x:c r="G121" s="13"/>
    </x:row>
    <x:row r="122">
      <x:c r="A122" s="29"/>
      <x:c r="B122" s="13"/>
      <x:c r="C122" s="13"/>
      <x:c r="D122" s="13"/>
      <x:c r="E122" s="13"/>
      <x:c r="F122" s="13"/>
      <x:c r="G122" s="13"/>
    </x:row>
    <x:row r="123">
      <x:c r="A123" s="29"/>
      <x:c r="B123" s="13"/>
      <x:c r="C123" s="13"/>
      <x:c r="D123" s="13"/>
      <x:c r="E123" s="13"/>
      <x:c r="F123" s="13"/>
      <x:c r="G123" s="13"/>
    </x:row>
    <x:row r="124">
      <x:c r="A124" s="29"/>
      <x:c r="B124" s="13"/>
      <x:c r="C124" s="13"/>
      <x:c r="D124" s="13"/>
      <x:c r="E124" s="13"/>
      <x:c r="F124" s="13"/>
      <x:c r="G124" s="13"/>
    </x:row>
    <x:row r="125">
      <x:c r="A125" s="29"/>
      <x:c r="B125" s="13"/>
      <x:c r="C125" s="13"/>
      <x:c r="D125" s="13"/>
      <x:c r="E125" s="13"/>
      <x:c r="F125" s="13"/>
      <x:c r="G125" s="13"/>
    </x:row>
    <x:row r="126">
      <x:c r="A126" s="29"/>
      <x:c r="B126" s="13"/>
      <x:c r="C126" s="13"/>
      <x:c r="D126" s="13"/>
      <x:c r="E126" s="13"/>
      <x:c r="F126" s="13"/>
      <x:c r="G126" s="13"/>
    </x:row>
    <x:row r="127">
      <x:c r="A127" s="29"/>
      <x:c r="B127" s="13"/>
      <x:c r="C127" s="13"/>
      <x:c r="D127" s="13"/>
      <x:c r="E127" s="13"/>
      <x:c r="F127" s="13"/>
      <x:c r="G127" s="13"/>
    </x:row>
    <x:row r="128">
      <x:c r="A128" s="29"/>
      <x:c r="B128" s="13"/>
      <x:c r="C128" s="13"/>
      <x:c r="D128" s="13"/>
      <x:c r="E128" s="13"/>
      <x:c r="F128" s="13"/>
      <x:c r="G128" s="13"/>
    </x:row>
    <x:row r="129">
      <x:c r="A129" s="29"/>
      <x:c r="B129" s="13"/>
      <x:c r="C129" s="13"/>
      <x:c r="D129" s="13"/>
      <x:c r="E129" s="13"/>
      <x:c r="F129" s="13"/>
      <x:c r="G129" s="13"/>
    </x:row>
    <x:row r="130">
      <x:c r="A130" s="29"/>
      <x:c r="B130" s="13"/>
      <x:c r="C130" s="13"/>
      <x:c r="D130" s="13"/>
      <x:c r="E130" s="13"/>
      <x:c r="F130" s="13"/>
      <x:c r="G130" s="13"/>
    </x:row>
    <x:row r="131">
      <x:c r="A131" s="29"/>
      <x:c r="B131" s="13"/>
      <x:c r="C131" s="13"/>
      <x:c r="D131" s="13"/>
      <x:c r="E131" s="13"/>
      <x:c r="F131" s="13"/>
      <x:c r="G131" s="13"/>
    </x:row>
    <x:row r="132">
      <x:c r="A132" s="29"/>
      <x:c r="B132" s="13"/>
      <x:c r="C132" s="13"/>
      <x:c r="D132" s="13"/>
      <x:c r="E132" s="13"/>
      <x:c r="F132" s="13"/>
      <x:c r="G132" s="13"/>
    </x:row>
    <x:row r="133">
      <x:c r="A133" s="29"/>
      <x:c r="B133" s="13"/>
      <x:c r="C133" s="13"/>
      <x:c r="D133" s="13"/>
      <x:c r="E133" s="13"/>
      <x:c r="F133" s="13"/>
      <x:c r="G133" s="13"/>
    </x:row>
    <x:row r="134">
      <x:c r="A134" s="29"/>
      <x:c r="B134" s="13"/>
      <x:c r="C134" s="13"/>
      <x:c r="D134" s="13"/>
      <x:c r="E134" s="13"/>
      <x:c r="F134" s="13"/>
      <x:c r="G134" s="13"/>
    </x:row>
    <x:row r="135">
      <x:c r="A135" s="29"/>
      <x:c r="B135" s="13"/>
      <x:c r="C135" s="13"/>
      <x:c r="D135" s="13"/>
      <x:c r="E135" s="13"/>
      <x:c r="F135" s="13"/>
      <x:c r="G135" s="13"/>
    </x:row>
    <x:row r="136">
      <x:c r="A136" s="29"/>
      <x:c r="B136" s="13"/>
      <x:c r="C136" s="13"/>
      <x:c r="D136" s="13"/>
      <x:c r="E136" s="13"/>
      <x:c r="F136" s="13"/>
      <x:c r="G136" s="13"/>
    </x:row>
    <x:row r="137">
      <x:c r="A137" s="29"/>
      <x:c r="B137" s="13"/>
      <x:c r="C137" s="13"/>
      <x:c r="D137" s="13"/>
      <x:c r="E137" s="13"/>
      <x:c r="F137" s="13"/>
      <x:c r="G137" s="13"/>
    </x:row>
    <x:row r="138">
      <x:c r="A138" s="29"/>
      <x:c r="B138" s="13"/>
      <x:c r="C138" s="13"/>
      <x:c r="D138" s="13"/>
      <x:c r="E138" s="13"/>
      <x:c r="F138" s="13"/>
      <x:c r="G138" s="13"/>
    </x:row>
    <x:row r="139">
      <x:c r="A139" s="29"/>
      <x:c r="B139" s="13"/>
      <x:c r="C139" s="13"/>
      <x:c r="D139" s="13"/>
      <x:c r="E139" s="13"/>
      <x:c r="F139" s="13"/>
      <x:c r="G139" s="13"/>
    </x:row>
    <x:row r="140">
      <x:c r="A140" s="29"/>
      <x:c r="B140" s="13"/>
      <x:c r="C140" s="13"/>
      <x:c r="D140" s="13"/>
      <x:c r="E140" s="13"/>
      <x:c r="F140" s="13"/>
      <x:c r="G140" s="13"/>
    </x:row>
    <x:row r="141">
      <x:c r="A141" s="29"/>
      <x:c r="B141" s="13"/>
      <x:c r="C141" s="13"/>
      <x:c r="D141" s="13"/>
      <x:c r="E141" s="13"/>
      <x:c r="F141" s="13"/>
      <x:c r="G141" s="13"/>
    </x:row>
    <x:row r="142">
      <x:c r="A142" s="29"/>
      <x:c r="B142" s="13"/>
      <x:c r="C142" s="13"/>
      <x:c r="D142" s="13"/>
      <x:c r="E142" s="13"/>
      <x:c r="F142" s="13"/>
      <x:c r="G142" s="13"/>
    </x:row>
    <x:row r="143">
      <x:c r="A143" s="29"/>
      <x:c r="B143" s="13"/>
      <x:c r="C143" s="13"/>
      <x:c r="D143" s="13"/>
      <x:c r="E143" s="13"/>
      <x:c r="F143" s="13"/>
      <x:c r="G143" s="13"/>
    </x:row>
    <x:row r="144">
      <x:c r="A144" s="29"/>
      <x:c r="B144" s="13"/>
      <x:c r="C144" s="13"/>
      <x:c r="D144" s="13"/>
      <x:c r="E144" s="13"/>
      <x:c r="F144" s="13"/>
      <x:c r="G144" s="13"/>
    </x:row>
    <x:row r="145">
      <x:c r="A145" s="29"/>
      <x:c r="B145" s="13"/>
      <x:c r="C145" s="13"/>
      <x:c r="D145" s="13"/>
      <x:c r="E145" s="13"/>
      <x:c r="F145" s="13"/>
      <x:c r="G145" s="13"/>
    </x:row>
    <x:row r="146">
      <x:c r="A146" s="29"/>
      <x:c r="B146" s="13"/>
      <x:c r="C146" s="13"/>
      <x:c r="D146" s="13"/>
      <x:c r="E146" s="13"/>
      <x:c r="F146" s="13"/>
      <x:c r="G146" s="13"/>
    </x:row>
    <x:row r="147">
      <x:c r="A147" s="29"/>
      <x:c r="B147" s="13"/>
      <x:c r="C147" s="13"/>
      <x:c r="D147" s="13"/>
      <x:c r="E147" s="13"/>
      <x:c r="F147" s="13"/>
      <x:c r="G147" s="13"/>
    </x:row>
    <x:row r="148">
      <x:c r="A148" s="29"/>
      <x:c r="B148" s="13"/>
      <x:c r="C148" s="13"/>
      <x:c r="D148" s="13"/>
      <x:c r="E148" s="13"/>
      <x:c r="F148" s="13"/>
      <x:c r="G148" s="13"/>
    </x:row>
    <x:row r="149">
      <x:c r="A149" s="29"/>
      <x:c r="B149" s="13"/>
      <x:c r="C149" s="13"/>
      <x:c r="D149" s="13"/>
      <x:c r="E149" s="13"/>
      <x:c r="F149" s="13"/>
      <x:c r="G149" s="13"/>
    </x:row>
    <x:row r="150">
      <x:c r="A150" s="29"/>
      <x:c r="B150" s="13"/>
      <x:c r="C150" s="13"/>
      <x:c r="D150" s="13"/>
      <x:c r="E150" s="13"/>
      <x:c r="F150" s="13"/>
      <x:c r="G150" s="13"/>
    </x:row>
    <x:row r="151">
      <x:c r="A151" s="29"/>
      <x:c r="B151" s="13"/>
      <x:c r="C151" s="13"/>
      <x:c r="D151" s="13"/>
      <x:c r="E151" s="13"/>
      <x:c r="F151" s="13"/>
      <x:c r="G151" s="13"/>
    </x:row>
    <x:row r="152">
      <x:c r="A152" s="29"/>
      <x:c r="B152" s="13"/>
      <x:c r="C152" s="13"/>
      <x:c r="D152" s="13"/>
      <x:c r="E152" s="13"/>
      <x:c r="F152" s="13"/>
      <x:c r="G152" s="13"/>
    </x:row>
    <x:row r="153">
      <x:c r="A153" s="29"/>
      <x:c r="B153" s="13"/>
      <x:c r="C153" s="13"/>
      <x:c r="D153" s="13"/>
      <x:c r="E153" s="13"/>
      <x:c r="F153" s="13"/>
      <x:c r="G153" s="13"/>
    </x:row>
    <x:row r="154">
      <x:c r="A154" s="29"/>
      <x:c r="B154" s="13"/>
      <x:c r="C154" s="13"/>
      <x:c r="D154" s="13"/>
      <x:c r="E154" s="13"/>
      <x:c r="F154" s="13"/>
      <x:c r="G154" s="13"/>
    </x:row>
    <x:row r="155">
      <x:c r="A155" s="29"/>
      <x:c r="B155" s="13"/>
      <x:c r="C155" s="13"/>
      <x:c r="D155" s="13"/>
      <x:c r="E155" s="13"/>
      <x:c r="F155" s="13"/>
      <x:c r="G155" s="13"/>
    </x:row>
    <x:row r="156">
      <x:c r="A156" s="29"/>
      <x:c r="B156" s="13"/>
      <x:c r="C156" s="13"/>
      <x:c r="D156" s="13"/>
      <x:c r="E156" s="13"/>
      <x:c r="F156" s="13"/>
      <x:c r="G156" s="13"/>
    </x:row>
    <x:row r="157">
      <x:c r="A157" s="29"/>
      <x:c r="B157" s="13"/>
      <x:c r="C157" s="13"/>
      <x:c r="D157" s="13"/>
      <x:c r="E157" s="13"/>
      <x:c r="F157" s="13"/>
      <x:c r="G157" s="13"/>
    </x:row>
    <x:row r="158">
      <x:c r="A158" s="29"/>
      <x:c r="B158" s="13"/>
      <x:c r="C158" s="13"/>
      <x:c r="D158" s="13"/>
      <x:c r="E158" s="13"/>
      <x:c r="F158" s="13"/>
      <x:c r="G158" s="13"/>
    </x:row>
    <x:row r="159">
      <x:c r="A159" s="29"/>
      <x:c r="B159" s="13"/>
      <x:c r="C159" s="13"/>
      <x:c r="D159" s="13"/>
      <x:c r="E159" s="13"/>
      <x:c r="F159" s="13"/>
      <x:c r="G159" s="13"/>
    </x:row>
    <x:row r="160">
      <x:c r="A160" s="29"/>
      <x:c r="B160" s="13"/>
      <x:c r="C160" s="13"/>
      <x:c r="D160" s="13"/>
      <x:c r="E160" s="13"/>
      <x:c r="F160" s="13"/>
      <x:c r="G160" s="13"/>
    </x:row>
    <x:row r="161">
      <x:c r="A161" s="29"/>
      <x:c r="B161" s="13"/>
      <x:c r="C161" s="13"/>
      <x:c r="D161" s="13"/>
      <x:c r="E161" s="13"/>
      <x:c r="F161" s="13"/>
      <x:c r="G161" s="13"/>
    </x:row>
    <x:row r="162">
      <x:c r="A162" s="29"/>
      <x:c r="B162" s="13"/>
      <x:c r="C162" s="13"/>
      <x:c r="D162" s="13"/>
      <x:c r="E162" s="13"/>
      <x:c r="F162" s="13"/>
      <x:c r="G162" s="13"/>
    </x:row>
    <x:row r="163">
      <x:c r="A163" s="29"/>
      <x:c r="B163" s="13"/>
      <x:c r="C163" s="13"/>
      <x:c r="D163" s="13"/>
      <x:c r="E163" s="13"/>
      <x:c r="F163" s="13"/>
      <x:c r="G163" s="13"/>
    </x:row>
    <x:row r="164">
      <x:c r="A164" s="29"/>
      <x:c r="B164" s="13"/>
      <x:c r="C164" s="13"/>
      <x:c r="D164" s="13"/>
      <x:c r="E164" s="13"/>
      <x:c r="F164" s="13"/>
      <x:c r="G164" s="13"/>
    </x:row>
    <x:row r="165">
      <x:c r="A165" s="29"/>
      <x:c r="B165" s="13"/>
      <x:c r="C165" s="13"/>
      <x:c r="D165" s="13"/>
      <x:c r="E165" s="13"/>
      <x:c r="F165" s="13"/>
      <x:c r="G165" s="13"/>
    </x:row>
    <x:row r="166">
      <x:c r="A166" s="29"/>
      <x:c r="B166" s="13"/>
      <x:c r="C166" s="13"/>
      <x:c r="D166" s="13"/>
      <x:c r="E166" s="13"/>
      <x:c r="F166" s="13"/>
      <x:c r="G166" s="13"/>
    </x:row>
    <x:row r="167">
      <x:c r="A167" s="29"/>
      <x:c r="B167" s="13"/>
      <x:c r="C167" s="13"/>
      <x:c r="D167" s="13"/>
      <x:c r="E167" s="13"/>
      <x:c r="F167" s="13"/>
      <x:c r="G167" s="13"/>
    </x:row>
    <x:row r="168">
      <x:c r="A168" s="29"/>
      <x:c r="B168" s="13"/>
      <x:c r="C168" s="13"/>
      <x:c r="D168" s="13"/>
      <x:c r="E168" s="13"/>
      <x:c r="F168" s="13"/>
      <x:c r="G168" s="13"/>
    </x:row>
    <x:row r="169">
      <x:c r="A169" s="29"/>
      <x:c r="B169" s="13"/>
      <x:c r="C169" s="13"/>
      <x:c r="D169" s="13"/>
      <x:c r="E169" s="13"/>
      <x:c r="F169" s="13"/>
      <x:c r="G169" s="13"/>
    </x:row>
    <x:row r="170">
      <x:c r="A170" s="29"/>
      <x:c r="B170" s="13"/>
      <x:c r="C170" s="13"/>
      <x:c r="D170" s="13"/>
      <x:c r="E170" s="13"/>
      <x:c r="F170" s="13"/>
      <x:c r="G170" s="13"/>
    </x:row>
    <x:row r="171">
      <x:c r="A171" s="29"/>
      <x:c r="B171" s="13"/>
      <x:c r="C171" s="13"/>
      <x:c r="D171" s="13"/>
      <x:c r="E171" s="13"/>
      <x:c r="F171" s="13"/>
      <x:c r="G171" s="13"/>
    </x:row>
    <x:row r="172">
      <x:c r="A172" s="29"/>
      <x:c r="B172" s="13"/>
      <x:c r="C172" s="13"/>
      <x:c r="D172" s="13"/>
      <x:c r="E172" s="13"/>
      <x:c r="F172" s="13"/>
      <x:c r="G172" s="13"/>
    </x:row>
    <x:row r="173">
      <x:c r="A173" s="29"/>
      <x:c r="B173" s="13"/>
      <x:c r="C173" s="13"/>
      <x:c r="D173" s="13"/>
      <x:c r="E173" s="13"/>
      <x:c r="F173" s="13"/>
      <x:c r="G173" s="13"/>
    </x:row>
    <x:row r="174">
      <x:c r="A174" s="29"/>
      <x:c r="B174" s="13"/>
      <x:c r="C174" s="13"/>
      <x:c r="D174" s="13"/>
      <x:c r="E174" s="13"/>
      <x:c r="F174" s="13"/>
      <x:c r="G174" s="13"/>
    </x:row>
    <x:row r="175">
      <x:c r="A175" s="29"/>
      <x:c r="B175" s="13"/>
      <x:c r="C175" s="13"/>
      <x:c r="D175" s="13"/>
      <x:c r="E175" s="13"/>
      <x:c r="F175" s="13"/>
      <x:c r="G175" s="13"/>
    </x:row>
    <x:row r="176">
      <x:c r="A176" s="29"/>
      <x:c r="B176" s="13"/>
      <x:c r="C176" s="13"/>
      <x:c r="D176" s="13"/>
      <x:c r="E176" s="13"/>
      <x:c r="F176" s="13"/>
      <x:c r="G176" s="13"/>
    </x:row>
    <x:row r="177">
      <x:c r="A177" s="29"/>
      <x:c r="B177" s="13"/>
      <x:c r="C177" s="13"/>
      <x:c r="D177" s="13"/>
      <x:c r="E177" s="13"/>
      <x:c r="F177" s="13"/>
      <x:c r="G177" s="13"/>
    </x:row>
    <x:row r="178">
      <x:c r="A178" s="29"/>
      <x:c r="B178" s="13"/>
      <x:c r="C178" s="13"/>
      <x:c r="D178" s="13"/>
      <x:c r="E178" s="13"/>
      <x:c r="F178" s="13"/>
      <x:c r="G178" s="13"/>
    </x:row>
    <x:row r="179">
      <x:c r="A179" s="29"/>
      <x:c r="B179" s="13"/>
      <x:c r="C179" s="13"/>
      <x:c r="D179" s="13"/>
      <x:c r="E179" s="13"/>
      <x:c r="F179" s="13"/>
      <x:c r="G179" s="13"/>
    </x:row>
    <x:row r="180">
      <x:c r="A180" s="29"/>
      <x:c r="B180" s="13"/>
      <x:c r="C180" s="13"/>
      <x:c r="D180" s="13"/>
      <x:c r="E180" s="13"/>
      <x:c r="F180" s="13"/>
      <x:c r="G180" s="13"/>
    </x:row>
    <x:row r="181">
      <x:c r="A181" s="29"/>
      <x:c r="B181" s="13"/>
      <x:c r="C181" s="13"/>
      <x:c r="D181" s="13"/>
      <x:c r="E181" s="13"/>
      <x:c r="F181" s="13"/>
      <x:c r="G181" s="13"/>
    </x:row>
    <x:row r="182">
      <x:c r="A182" s="29"/>
      <x:c r="B182" s="13"/>
      <x:c r="C182" s="13"/>
      <x:c r="D182" s="13"/>
      <x:c r="E182" s="13"/>
      <x:c r="F182" s="13"/>
      <x:c r="G182" s="13"/>
    </x:row>
    <x:row r="183">
      <x:c r="A183" s="29"/>
      <x:c r="B183" s="13"/>
      <x:c r="C183" s="13"/>
      <x:c r="D183" s="13"/>
      <x:c r="E183" s="13"/>
      <x:c r="F183" s="13"/>
      <x:c r="G183" s="13"/>
    </x:row>
    <x:row r="184">
      <x:c r="A184" s="29"/>
      <x:c r="B184" s="13"/>
      <x:c r="C184" s="13"/>
      <x:c r="D184" s="13"/>
      <x:c r="E184" s="13"/>
      <x:c r="F184" s="13"/>
      <x:c r="G184" s="13"/>
    </x:row>
    <x:row r="185">
      <x:c r="A185" s="29"/>
      <x:c r="B185" s="13"/>
      <x:c r="C185" s="13"/>
      <x:c r="D185" s="13"/>
      <x:c r="E185" s="13"/>
      <x:c r="F185" s="13"/>
      <x:c r="G185" s="13"/>
    </x:row>
    <x:row r="186">
      <x:c r="A186" s="29"/>
      <x:c r="B186" s="13"/>
      <x:c r="C186" s="13"/>
      <x:c r="D186" s="13"/>
      <x:c r="E186" s="13"/>
      <x:c r="F186" s="13"/>
      <x:c r="G186" s="13"/>
    </x:row>
    <x:row r="187">
      <x:c r="A187" s="29"/>
      <x:c r="B187" s="13"/>
      <x:c r="C187" s="13"/>
      <x:c r="D187" s="13"/>
      <x:c r="E187" s="13"/>
      <x:c r="F187" s="13"/>
      <x:c r="G187" s="13"/>
    </x:row>
    <x:row r="188">
      <x:c r="A188" s="29"/>
      <x:c r="B188" s="13"/>
      <x:c r="C188" s="13"/>
      <x:c r="D188" s="13"/>
      <x:c r="E188" s="13"/>
      <x:c r="F188" s="13"/>
      <x:c r="G188" s="13"/>
    </x:row>
    <x:row r="189">
      <x:c r="A189" s="29"/>
      <x:c r="B189" s="13"/>
      <x:c r="C189" s="13"/>
      <x:c r="D189" s="13"/>
      <x:c r="E189" s="13"/>
      <x:c r="F189" s="13"/>
      <x:c r="G189" s="13"/>
    </x:row>
    <x:row r="190">
      <x:c r="A190" s="29"/>
      <x:c r="B190" s="13"/>
      <x:c r="C190" s="13"/>
      <x:c r="D190" s="13"/>
      <x:c r="E190" s="13"/>
      <x:c r="F190" s="13"/>
      <x:c r="G190" s="13"/>
    </x:row>
    <x:row r="191">
      <x:c r="A191" s="29"/>
      <x:c r="B191" s="13"/>
      <x:c r="C191" s="13"/>
      <x:c r="D191" s="13"/>
      <x:c r="E191" s="13"/>
      <x:c r="F191" s="13"/>
      <x:c r="G191" s="13"/>
    </x:row>
    <x:row r="192">
      <x:c r="A192" s="29"/>
      <x:c r="B192" s="13"/>
      <x:c r="C192" s="13"/>
      <x:c r="D192" s="13"/>
      <x:c r="E192" s="13"/>
      <x:c r="F192" s="13"/>
      <x:c r="G192" s="13"/>
    </x:row>
    <x:row r="193">
      <x:c r="A193" s="29"/>
      <x:c r="B193" s="13"/>
      <x:c r="C193" s="13"/>
      <x:c r="D193" s="13"/>
      <x:c r="E193" s="13"/>
      <x:c r="F193" s="13"/>
      <x:c r="G193" s="13"/>
    </x:row>
    <x:row r="194">
      <x:c r="A194" s="29"/>
      <x:c r="B194" s="13"/>
      <x:c r="C194" s="13"/>
      <x:c r="D194" s="13"/>
      <x:c r="E194" s="13"/>
      <x:c r="F194" s="13"/>
      <x:c r="G194" s="13"/>
    </x:row>
    <x:row r="195">
      <x:c r="A195" s="29"/>
      <x:c r="B195" s="13"/>
      <x:c r="C195" s="13"/>
      <x:c r="D195" s="13"/>
      <x:c r="E195" s="13"/>
      <x:c r="F195" s="13"/>
      <x:c r="G195" s="13"/>
    </x:row>
    <x:row r="196">
      <x:c r="A196" s="29"/>
      <x:c r="B196" s="13"/>
      <x:c r="C196" s="13"/>
      <x:c r="D196" s="13"/>
      <x:c r="E196" s="13"/>
      <x:c r="F196" s="13"/>
      <x:c r="G196" s="13"/>
    </x:row>
    <x:row r="197">
      <x:c r="A197" s="29"/>
      <x:c r="B197" s="13"/>
      <x:c r="C197" s="13"/>
      <x:c r="D197" s="13"/>
      <x:c r="E197" s="13"/>
      <x:c r="F197" s="13"/>
      <x:c r="G197" s="13"/>
    </x:row>
    <x:row r="198">
      <x:c r="A198" s="29"/>
      <x:c r="B198" s="13"/>
      <x:c r="C198" s="13"/>
      <x:c r="D198" s="13"/>
      <x:c r="E198" s="13"/>
      <x:c r="F198" s="13"/>
      <x:c r="G198" s="13"/>
    </x:row>
    <x:row r="199">
      <x:c r="A199" s="29"/>
      <x:c r="B199" s="13"/>
      <x:c r="C199" s="13"/>
      <x:c r="D199" s="13"/>
      <x:c r="E199" s="13"/>
      <x:c r="F199" s="13"/>
      <x:c r="G199" s="13"/>
    </x:row>
    <x:row r="200">
      <x:c r="A200" s="29"/>
      <x:c r="B200" s="13"/>
      <x:c r="C200" s="13"/>
      <x:c r="D200" s="13"/>
      <x:c r="E200" s="13"/>
      <x:c r="F200" s="13"/>
      <x:c r="G200" s="13"/>
    </x:row>
    <x:row r="201">
      <x:c r="A201" s="29"/>
      <x:c r="B201" s="13"/>
      <x:c r="C201" s="13"/>
      <x:c r="D201" s="13"/>
      <x:c r="E201" s="13"/>
      <x:c r="F201" s="13"/>
      <x:c r="G201" s="13"/>
    </x:row>
    <x:row r="202">
      <x:c r="A202" s="29"/>
      <x:c r="B202" s="13"/>
      <x:c r="C202" s="13"/>
      <x:c r="D202" s="13"/>
      <x:c r="E202" s="13"/>
      <x:c r="F202" s="13"/>
      <x:c r="G202" s="13"/>
    </x:row>
    <x:row r="203">
      <x:c r="A203" s="29"/>
      <x:c r="B203" s="13"/>
      <x:c r="C203" s="13"/>
      <x:c r="D203" s="13"/>
      <x:c r="E203" s="13"/>
      <x:c r="F203" s="13"/>
      <x:c r="G203" s="13"/>
    </x:row>
    <x:row r="204">
      <x:c r="A204" s="29"/>
      <x:c r="B204" s="13"/>
      <x:c r="C204" s="13"/>
      <x:c r="D204" s="13"/>
      <x:c r="E204" s="13"/>
      <x:c r="F204" s="13"/>
      <x:c r="G204" s="13"/>
    </x:row>
    <x:row r="205">
      <x:c r="A205" s="29"/>
      <x:c r="B205" s="13"/>
      <x:c r="C205" s="13"/>
      <x:c r="D205" s="13"/>
      <x:c r="E205" s="13"/>
      <x:c r="F205" s="13"/>
      <x:c r="G205" s="13"/>
    </x:row>
  </x:sheetData>
  <x:mergeCells>
    <x:mergeCell ref="A1:G2"/>
  </x:mergeCells>
  <x:dataValidations count="1">
    <x:dataValidation type="list" sqref="C5:C205">
      <x:formula1>"CREATE,UPDATE,DELETE,LOCK,REOPEN"</x:formula1>
    </x:dataValidation>
  </x:dataValidations>
  <x:pageMargins left="0.7" right="0.7" top="0.75" bottom="0.75" header="0.3" footer="0.3"/>
</x:worksheet>
</file>